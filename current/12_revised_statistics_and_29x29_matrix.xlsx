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36f88b108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_Matrix" sheetId="1" r:id="R818c521d62e24c43"/>
    <x:sheet xmlns:r="http://schemas.openxmlformats.org/officeDocument/2006/relationships" name="Coverage" sheetId="2" r:id="R098697e4c7ec439d"/>
    <x:sheet xmlns:r="http://schemas.openxmlformats.org/officeDocument/2006/relationships" name="Top5_Zero" sheetId="3" r:id="Ra6d127a3642543a4"/>
    <x:sheet xmlns:r="http://schemas.openxmlformats.org/officeDocument/2006/relationships" name="Error_Audit" sheetId="4" r:id="R9afc4dc88a8b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73ad96c9d4e9d" /><Relationship Type="http://schemas.openxmlformats.org/officeDocument/2006/relationships/theme" Target="/xl/theme/theme1.xml" Id="R1fe8c371fab44816" /><Relationship Type="http://schemas.openxmlformats.org/officeDocument/2006/relationships/sharedStrings" Target="/xl/sharedStrings.xml" Id="R155b2a905927436a" /><Relationship Type="http://schemas.openxmlformats.org/officeDocument/2006/relationships/worksheet" Target="/xl/worksheets/sheet1.xml" Id="R818c521d62e24c43" /><Relationship Type="http://schemas.openxmlformats.org/officeDocument/2006/relationships/worksheet" Target="/xl/worksheets/sheet2.xml" Id="R098697e4c7ec439d" /><Relationship Type="http://schemas.openxmlformats.org/officeDocument/2006/relationships/worksheet" Target="/xl/worksheets/sheet3.xml" Id="Ra6d127a3642543a4" /><Relationship Type="http://schemas.openxmlformats.org/officeDocument/2006/relationships/worksheet" Target="/xl/worksheets/sheet4.xml" Id="R9afc4dc88a8b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10" hidden="0" customWidth="1"/>
  </x:cols>
  <x:sheetData>
    <x:row r="1">
      <x:c r="A1" s="5" t="str">
        <x:v>组别</x:v>
      </x:c>
      <x:c r="B1" s="5" t="str">
        <x:v>文件</x:v>
      </x:c>
      <x:c r="C1" s="5" t="str">
        <x:v>1.保密性</x:v>
      </x:c>
      <x:c r="D1" s="5" t="str">
        <x:v>2.胜任能力</x:v>
      </x:c>
      <x:c r="E1" s="5" t="str">
        <x:v>3.忠实/准确</x:v>
      </x:c>
      <x:c r="F1" s="5" t="str">
        <x:v>4.诚信/职业操守</x:v>
      </x:c>
      <x:c r="G1" s="5" t="str">
        <x:v>5.持续专业发展</x:v>
      </x:c>
      <x:c r="H1" s="5" t="str">
        <x:v>6.合同/承诺遵守</x:v>
      </x:c>
      <x:c r="I1" s="5" t="str">
        <x:v>7.公平/中立</x:v>
      </x:c>
      <x:c r="J1" s="5" t="str">
        <x:v>8.质量保证</x:v>
      </x:c>
      <x:c r="K1" s="5" t="str">
        <x:v>9.文化/语言能力</x:v>
      </x:c>
      <x:c r="L1" s="5" t="str">
        <x:v>10.错误更正义务</x:v>
      </x:c>
      <x:c r="M1" s="5" t="str">
        <x:v>11.隐私/数据保护</x:v>
      </x:c>
      <x:c r="N1" s="5" t="str">
        <x:v>12.拒绝有害工作</x:v>
      </x:c>
      <x:c r="O1" s="5" t="str">
        <x:v>13.社会责任</x:v>
      </x:c>
      <x:c r="P1" s="5" t="str">
        <x:v>14.同业团结/合作</x:v>
      </x:c>
      <x:c r="Q1" s="5" t="str">
        <x:v>15.利益冲突披露</x:v>
      </x:c>
      <x:c r="R1" s="5" t="str">
        <x:v>16.透明度</x:v>
      </x:c>
      <x:c r="S1" s="5" t="str">
        <x:v>17.知识产权保护</x:v>
      </x:c>
      <x:c r="T1" s="5" t="str">
        <x:v>18.技术使用规范</x:v>
      </x:c>
      <x:c r="U1" s="5" t="str">
        <x:v>19.角色界限</x:v>
      </x:c>
      <x:c r="V1" s="5" t="str">
        <x:v>20.公平报酬</x:v>
      </x:c>
      <x:c r="W1" s="5" t="str">
        <x:v>21.人机协作规范</x:v>
      </x:c>
      <x:c r="X1" s="5" t="str">
        <x:v>22.算法公平</x:v>
      </x:c>
      <x:c r="Y1" s="5" t="str">
        <x:v>23.可解释性</x:v>
      </x:c>
      <x:c r="Z1" s="5" t="str">
        <x:v>24.知情同意</x:v>
      </x:c>
      <x:c r="AA1" s="5" t="str">
        <x:v>25.译者著作权利</x:v>
      </x:c>
      <x:c r="AB1" s="5" t="str">
        <x:v>26.尊重当事人/自主权</x:v>
      </x:c>
      <x:c r="AC1" s="5" t="str">
        <x:v>27.语言可及性/无障碍保障</x:v>
      </x:c>
      <x:c r="AD1" s="5" t="str">
        <x:v>28.跨专业协作</x:v>
      </x:c>
      <x:c r="AE1" s="5" t="str">
        <x:v>29.问责制/责任归属</x:v>
      </x:c>
      <x:c r="AF1" s="5" t="str">
        <x:v>维度总数</x:v>
      </x:c>
    </x:row>
    <x:row r="2">
      <x:c r="A2" s="10" t="str">
        <x:v>H</x:v>
      </x:c>
      <x:c r="B2" s="10" t="str">
        <x:v>NAJIT 法庭</x:v>
      </x:c>
      <x:c r="C2" s="10" t="n">
        <x:v>1</x:v>
      </x:c>
      <x:c r="D2" s="10" t="n">
        <x:v>1</x:v>
      </x:c>
      <x:c r="E2" s="10" t="n">
        <x:v>1</x:v>
      </x:c>
      <x:c r="F2" s="10" t="n">
        <x:v>1</x:v>
      </x:c>
      <x:c r="G2" s="10" t="n">
        <x:v>1</x:v>
      </x:c>
      <x:c r="H2" s="10" t="n">
        <x:v>0</x:v>
      </x:c>
      <x:c r="I2" s="10" t="n">
        <x:v>1</x:v>
      </x:c>
      <x:c r="J2" s="10" t="n">
        <x:v>0</x:v>
      </x:c>
      <x:c r="K2" s="10" t="n">
        <x:v>0</x:v>
      </x:c>
      <x:c r="L2" s="10" t="n">
        <x:v>1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0" t="n">
        <x:v>0</x:v>
      </x:c>
      <x:c r="T2" s="10" t="n">
        <x:v>0</x:v>
      </x:c>
      <x:c r="U2" s="10" t="n">
        <x:v>1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n">
        <x:v>0</x:v>
      </x:c>
      <x:c r="AA2" s="10" t="n">
        <x:v>0</x:v>
      </x:c>
      <x:c r="AB2" s="10" t="n">
        <x:v>0</x:v>
      </x:c>
      <x:c r="AC2" s="10" t="n">
        <x:v>0</x:v>
      </x:c>
      <x:c r="AD2" s="10" t="n">
        <x:v>0</x:v>
      </x:c>
      <x:c r="AE2" s="10" t="n">
        <x:v>0</x:v>
      </x:c>
      <x:c r="AF2" s="10" t="n">
        <x:f>SUM(C2:AE2)</x:f>
        <x:v>8</x:v>
      </x:c>
    </x:row>
    <x:row r="3">
      <x:c r="A3" s="10" t="str">
        <x:v>H</x:v>
      </x:c>
      <x:c r="B3" s="10" t="str">
        <x:v>HIN 医疗</x:v>
      </x:c>
      <x:c r="C3" s="10" t="n">
        <x:v>1</x:v>
      </x:c>
      <x:c r="D3" s="10" t="n">
        <x:v>1</x:v>
      </x:c>
      <x:c r="E3" s="10" t="n">
        <x:v>1</x:v>
      </x:c>
      <x:c r="F3" s="10" t="n">
        <x:v>1</x:v>
      </x:c>
      <x:c r="G3" s="10" t="n">
        <x:v>1</x:v>
      </x:c>
      <x:c r="H3" s="10" t="n">
        <x:v>1</x:v>
      </x:c>
      <x:c r="I3" s="10" t="n">
        <x:v>1</x:v>
      </x:c>
      <x:c r="J3" s="10" t="n">
        <x:v>1</x:v>
      </x:c>
      <x:c r="K3" s="10" t="n">
        <x:v>0</x:v>
      </x:c>
      <x:c r="L3" s="10" t="n">
        <x:v>1</x:v>
      </x:c>
      <x:c r="M3" s="10" t="n">
        <x:v>0</x:v>
      </x:c>
      <x:c r="N3" s="10" t="n">
        <x:v>1</x:v>
      </x:c>
      <x:c r="O3" s="10" t="n">
        <x:v>0</x:v>
      </x:c>
      <x:c r="P3" s="10" t="n">
        <x:v>0</x:v>
      </x:c>
      <x:c r="Q3" s="10" t="n">
        <x:v>1</x:v>
      </x:c>
      <x:c r="R3" s="10" t="n">
        <x:v>1</x:v>
      </x:c>
      <x:c r="S3" s="10" t="n">
        <x:v>0</x:v>
      </x:c>
      <x:c r="T3" s="10" t="n">
        <x:v>0</x:v>
      </x:c>
      <x:c r="U3" s="10" t="n">
        <x:v>1</x:v>
      </x:c>
      <x:c r="V3" s="10" t="n">
        <x:v>0</x:v>
      </x:c>
      <x:c r="W3" s="10" t="n">
        <x:v>0</x:v>
      </x:c>
      <x:c r="X3" s="10" t="n">
        <x:v>0</x:v>
      </x:c>
      <x:c r="Y3" s="10" t="n">
        <x:v>0</x:v>
      </x:c>
      <x:c r="Z3" s="10" t="n">
        <x:v>1</x:v>
      </x:c>
      <x:c r="AA3" s="10" t="n">
        <x:v>0</x:v>
      </x:c>
      <x:c r="AB3" s="10" t="n">
        <x:v>1</x:v>
      </x:c>
      <x:c r="AC3" s="10" t="n">
        <x:v>0</x:v>
      </x:c>
      <x:c r="AD3" s="10" t="n">
        <x:v>0</x:v>
      </x:c>
      <x:c r="AE3" s="10" t="n">
        <x:v>0</x:v>
      </x:c>
      <x:c r="AF3" s="10" t="n">
        <x:f>SUM(C3:AE3)</x:f>
        <x:v>15</x:v>
      </x:c>
    </x:row>
    <x:row r="4">
      <x:c r="A4" s="10" t="str">
        <x:v>H</x:v>
      </x:c>
      <x:c r="B4" s="10" t="str">
        <x:v>EULITA 法律</x:v>
      </x:c>
      <x:c r="C4" s="10" t="n">
        <x:v>1</x:v>
      </x:c>
      <x:c r="D4" s="10" t="n">
        <x:v>1</x:v>
      </x:c>
      <x:c r="E4" s="10" t="n">
        <x:v>1</x:v>
      </x:c>
      <x:c r="F4" s="10" t="n">
        <x:v>1</x:v>
      </x:c>
      <x:c r="G4" s="10" t="n">
        <x:v>1</x:v>
      </x:c>
      <x:c r="H4" s="10" t="n">
        <x:v>0</x:v>
      </x:c>
      <x:c r="I4" s="10" t="n">
        <x:v>1</x:v>
      </x:c>
      <x:c r="J4" s="10" t="n">
        <x:v>0</x:v>
      </x:c>
      <x:c r="K4" s="10" t="n">
        <x:v>0</x:v>
      </x:c>
      <x:c r="L4" s="10" t="n">
        <x:v>1</x:v>
      </x:c>
      <x:c r="M4" s="10" t="n">
        <x:v>0</x:v>
      </x:c>
      <x:c r="N4" s="10" t="n">
        <x:v>0</x:v>
      </x:c>
      <x:c r="O4" s="10" t="n">
        <x:v>0</x:v>
      </x:c>
      <x:c r="P4" s="10" t="n">
        <x:v>1</x:v>
      </x:c>
      <x:c r="Q4" s="10" t="n">
        <x:v>1</x:v>
      </x:c>
      <x:c r="R4" s="10" t="n">
        <x:v>1</x:v>
      </x:c>
      <x:c r="S4" s="10" t="n">
        <x:v>0</x:v>
      </x:c>
      <x:c r="T4" s="10" t="n">
        <x:v>0</x:v>
      </x:c>
      <x:c r="U4" s="10" t="n">
        <x:v>1</x:v>
      </x:c>
      <x:c r="V4" s="10" t="n">
        <x:v>0</x:v>
      </x:c>
      <x:c r="W4" s="10" t="n">
        <x:v>0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  <x:c r="AB4" s="10" t="n">
        <x:v>0</x:v>
      </x:c>
      <x:c r="AC4" s="10" t="n">
        <x:v>0</x:v>
      </x:c>
      <x:c r="AD4" s="10" t="n">
        <x:v>0</x:v>
      </x:c>
      <x:c r="AE4" s="10" t="n">
        <x:v>0</x:v>
      </x:c>
      <x:c r="AF4" s="10" t="n">
        <x:f>SUM(C4:AE4)</x:f>
        <x:v>11</x:v>
      </x:c>
    </x:row>
    <x:row r="5">
      <x:c r="A5" s="10" t="str">
        <x:v>H</x:v>
      </x:c>
      <x:c r="B5" s="10" t="str">
        <x:v>ICTY 法庭</x:v>
      </x:c>
      <x:c r="C5" s="10" t="n">
        <x:v>1</x:v>
      </x:c>
      <x:c r="D5" s="10" t="n">
        <x:v>1</x:v>
      </x:c>
      <x:c r="E5" s="10" t="n">
        <x:v>1</x:v>
      </x:c>
      <x:c r="F5" s="10" t="n">
        <x:v>1</x:v>
      </x:c>
      <x:c r="G5" s="10" t="n">
        <x:v>1</x:v>
      </x:c>
      <x:c r="H5" s="10" t="n">
        <x:v>1</x:v>
      </x:c>
      <x:c r="I5" s="10" t="n">
        <x:v>1</x:v>
      </x:c>
      <x:c r="J5" s="10" t="n">
        <x:v>1</x:v>
      </x:c>
      <x:c r="K5" s="10" t="n">
        <x:v>0</x:v>
      </x:c>
      <x:c r="L5" s="10" t="n">
        <x:v>1</x:v>
      </x:c>
      <x:c r="M5" s="10" t="n">
        <x:v>0</x:v>
      </x:c>
      <x:c r="N5" s="10" t="n">
        <x:v>0</x:v>
      </x:c>
      <x:c r="O5" s="10" t="n">
        <x:v>0</x:v>
      </x:c>
      <x:c r="P5" s="10" t="n">
        <x:v>1</x:v>
      </x:c>
      <x:c r="Q5" s="10" t="n">
        <x:v>1</x:v>
      </x:c>
      <x:c r="R5" s="10" t="n">
        <x:v>1</x:v>
      </x:c>
      <x:c r="S5" s="10" t="n">
        <x:v>1</x:v>
      </x:c>
      <x:c r="T5" s="10" t="n">
        <x:v>0</x:v>
      </x:c>
      <x:c r="U5" s="10" t="n">
        <x:v>1</x:v>
      </x:c>
      <x:c r="V5" s="10" t="n">
        <x:v>0</x:v>
      </x:c>
      <x:c r="W5" s="10" t="n">
        <x:v>0</x:v>
      </x:c>
      <x:c r="X5" s="10" t="n">
        <x:v>0</x:v>
      </x:c>
      <x:c r="Y5" s="10" t="n">
        <x:v>0</x:v>
      </x:c>
      <x:c r="Z5" s="10" t="n"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0</x:v>
      </x:c>
      <x:c r="AE5" s="10" t="n">
        <x:v>0</x:v>
      </x:c>
      <x:c r="AF5" s="10" t="n">
        <x:f>SUM(C5:AE5)</x:f>
        <x:v>14</x:v>
      </x:c>
    </x:row>
    <x:row r="6">
      <x:c r="A6" s="10" t="str">
        <x:v>H</x:v>
      </x:c>
      <x:c r="B6" s="10" t="str">
        <x:v>NCIHC 医疗</x:v>
      </x:c>
      <x:c r="C6" s="10" t="n">
        <x:v>1</x:v>
      </x:c>
      <x:c r="D6" s="10" t="n">
        <x:v>0</x:v>
      </x:c>
      <x:c r="E6" s="10" t="n">
        <x:v>1</x:v>
      </x:c>
      <x:c r="F6" s="10" t="n">
        <x:v>1</x:v>
      </x:c>
      <x:c r="G6" s="10" t="n">
        <x:v>1</x:v>
      </x:c>
      <x:c r="H6" s="10" t="n">
        <x:v>0</x:v>
      </x:c>
      <x:c r="I6" s="10" t="n">
        <x:v>1</x:v>
      </x:c>
      <x:c r="J6" s="10" t="n">
        <x:v>0</x:v>
      </x:c>
      <x:c r="K6" s="10" t="n">
        <x:v>1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n">
        <x:v>0</x:v>
      </x:c>
      <x:c r="U6" s="10" t="n">
        <x:v>1</x:v>
      </x:c>
      <x:c r="V6" s="10" t="n">
        <x:v>0</x:v>
      </x:c>
      <x:c r="W6" s="10" t="n">
        <x:v>0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s="10" t="n">
        <x:v>0</x:v>
      </x:c>
      <x:c r="AF6" s="10" t="n">
        <x:f>SUM(C6:AE6)</x:f>
        <x:v>7</x:v>
      </x:c>
    </x:row>
    <x:row r="7">
      <x:c r="A7" s="10" t="str">
        <x:v>H</x:v>
      </x:c>
      <x:c r="B7" s="10" t="str">
        <x:v>CIOL 特许语言家</x:v>
      </x:c>
      <x:c r="C7" s="10" t="n">
        <x:v>1</x:v>
      </x:c>
      <x:c r="D7" s="10" t="n">
        <x:v>1</x:v>
      </x:c>
      <x:c r="E7" s="10" t="n">
        <x:v>0</x:v>
      </x:c>
      <x:c r="F7" s="10" t="n">
        <x:v>1</x:v>
      </x:c>
      <x:c r="G7" s="10" t="n">
        <x:v>1</x:v>
      </x:c>
      <x:c r="H7" s="10" t="n">
        <x:v>1</x:v>
      </x:c>
      <x:c r="I7" s="10" t="n">
        <x:v>1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  <x:c r="N7" s="10" t="n">
        <x:v>1</x:v>
      </x:c>
      <x:c r="O7" s="10" t="n">
        <x:v>0</x:v>
      </x:c>
      <x:c r="P7" s="10" t="n">
        <x:v>1</x:v>
      </x:c>
      <x:c r="Q7" s="10" t="n">
        <x:v>1</x:v>
      </x:c>
      <x:c r="R7" s="10" t="n">
        <x:v>0</x:v>
      </x:c>
      <x:c r="S7" s="10" t="n">
        <x:v>0</x:v>
      </x:c>
      <x:c r="T7" s="10" t="n">
        <x:v>0</x:v>
      </x:c>
      <x:c r="U7" s="10" t="n">
        <x:v>1</x:v>
      </x:c>
      <x:c r="V7" s="10" t="n">
        <x:v>0</x:v>
      </x:c>
      <x:c r="W7" s="10" t="n">
        <x:v>0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s="10" t="n">
        <x:v>1</x:v>
      </x:c>
      <x:c r="AF7" s="10" t="n">
        <x:f>SUM(C7:AE7)</x:f>
        <x:v>11</x:v>
      </x:c>
    </x:row>
    <x:row r="8">
      <x:c r="A8" s="10" t="str">
        <x:v>H</x:v>
      </x:c>
      <x:c r="B8" s="10" t="str">
        <x:v>NAIE 教育</x:v>
      </x:c>
      <x:c r="C8" s="10" t="n">
        <x:v>1</x:v>
      </x:c>
      <x:c r="D8" s="10" t="n">
        <x:v>1</x:v>
      </x:c>
      <x:c r="E8" s="10" t="n">
        <x:v>1</x:v>
      </x:c>
      <x:c r="F8" s="10" t="n">
        <x:v>1</x:v>
      </x:c>
      <x:c r="G8" s="10" t="n">
        <x:v>1</x:v>
      </x:c>
      <x:c r="H8" s="10" t="n">
        <x:v>1</x:v>
      </x:c>
      <x:c r="I8" s="10" t="n">
        <x:v>1</x:v>
      </x:c>
      <x:c r="J8" s="10" t="n">
        <x:v>1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0</x:v>
      </x:c>
      <x:c r="P8" s="10" t="n">
        <x:v>0</x:v>
      </x:c>
      <x:c r="Q8" s="10" t="n">
        <x:v>1</x:v>
      </x:c>
      <x:c r="R8" s="10" t="n">
        <x:v>0</x:v>
      </x:c>
      <x:c r="S8" s="10" t="n">
        <x:v>0</x:v>
      </x:c>
      <x:c r="T8" s="10" t="n">
        <x:v>0</x:v>
      </x:c>
      <x:c r="U8" s="10" t="n">
        <x:v>1</x:v>
      </x:c>
      <x:c r="V8" s="10" t="n">
        <x:v>0</x:v>
      </x:c>
      <x:c r="W8" s="10" t="n">
        <x:v>0</x:v>
      </x:c>
      <x:c r="X8" s="10" t="n">
        <x:v>0</x:v>
      </x:c>
      <x:c r="Y8" s="10" t="n">
        <x:v>0</x:v>
      </x:c>
      <x:c r="Z8" s="10" t="n">
        <x:v>0</x:v>
      </x:c>
      <x:c r="AA8" s="10" t="n">
        <x:v>0</x:v>
      </x:c>
      <x:c r="AB8" s="10" t="n">
        <x:v>1</x:v>
      </x:c>
      <x:c r="AC8" s="10" t="n">
        <x:v>1</x:v>
      </x:c>
      <x:c r="AD8" s="10" t="n">
        <x:v>1</x:v>
      </x:c>
      <x:c r="AE8" s="10" t="n">
        <x:v>0</x:v>
      </x:c>
      <x:c r="AF8" s="10" t="n">
        <x:f>SUM(C8:AE8)</x:f>
        <x:v>13</x:v>
      </x:c>
    </x:row>
    <x:row r="9">
      <x:c r="A9" s="10" t="str">
        <x:v>H</x:v>
      </x:c>
      <x:c r="B9" s="10" t="str">
        <x:v>ASLIA 手语</x:v>
      </x:c>
      <x:c r="C9" s="10" t="n">
        <x:v>1</x:v>
      </x:c>
      <x:c r="D9" s="10" t="n">
        <x:v>1</x:v>
      </x:c>
      <x:c r="E9" s="10" t="n">
        <x:v>1</x:v>
      </x:c>
      <x:c r="F9" s="10" t="n">
        <x:v>1</x:v>
      </x:c>
      <x:c r="G9" s="10" t="n">
        <x:v>1</x:v>
      </x:c>
      <x:c r="H9" s="10" t="n">
        <x:v>1</x:v>
      </x:c>
      <x:c r="I9" s="10" t="n">
        <x:v>1</x:v>
      </x:c>
      <x:c r="J9" s="10" t="n">
        <x:v>0</x:v>
      </x:c>
      <x:c r="K9" s="10" t="n">
        <x:v>1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10" t="n">
        <x:v>1</x:v>
      </x:c>
      <x:c r="Q9" s="10" t="n">
        <x:v>1</x:v>
      </x:c>
      <x:c r="R9" s="10" t="n">
        <x:v>0</x:v>
      </x:c>
      <x:c r="S9" s="10" t="n">
        <x:v>0</x:v>
      </x:c>
      <x:c r="T9" s="10" t="n">
        <x:v>0</x:v>
      </x:c>
      <x:c r="U9" s="10" t="n">
        <x:v>1</x:v>
      </x:c>
      <x:c r="V9" s="10" t="n">
        <x:v>0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10" t="n">
        <x:v>1</x:v>
      </x:c>
      <x:c r="AC9" s="10" t="n">
        <x:v>1</x:v>
      </x:c>
      <x:c r="AD9" s="10" t="n">
        <x:v>0</x:v>
      </x:c>
      <x:c r="AE9" s="10" t="n">
        <x:v>1</x:v>
      </x:c>
      <x:c r="AF9" s="10" t="n">
        <x:f>SUM(C9:AE9)</x:f>
        <x:v>14</x:v>
      </x:c>
    </x:row>
    <x:row r="10">
      <x:c r="A10" s="10" t="str">
        <x:v>H</x:v>
      </x:c>
      <x:c r="B10" s="10" t="str">
        <x:v>ZYF 中国译协</x:v>
      </x:c>
      <x:c r="C10" s="10" t="n">
        <x:v>1</x:v>
      </x:c>
      <x:c r="D10" s="10" t="n">
        <x:v>1</x:v>
      </x:c>
      <x:c r="E10" s="10" t="n">
        <x:v>1</x:v>
      </x:c>
      <x:c r="F10" s="10" t="n">
        <x:v>1</x:v>
      </x:c>
      <x:c r="G10" s="10" t="n">
        <x:v>1</x:v>
      </x:c>
      <x:c r="H10" s="10" t="n">
        <x:v>1</x:v>
      </x:c>
      <x:c r="I10" s="10" t="n">
        <x:v>1</x:v>
      </x:c>
      <x:c r="J10" s="10" t="n">
        <x:v>0</x:v>
      </x:c>
      <x:c r="K10" s="10" t="n">
        <x:v>0</x:v>
      </x:c>
      <x:c r="L10" s="10" t="n">
        <x:v>1</x:v>
      </x:c>
      <x:c r="M10" s="10" t="n">
        <x:v>0</x:v>
      </x:c>
      <x:c r="N10" s="10" t="n">
        <x:v>1</x:v>
      </x:c>
      <x:c r="O10" s="10" t="n">
        <x:v>0</x:v>
      </x:c>
      <x:c r="P10" s="10" t="n">
        <x:v>1</x:v>
      </x:c>
      <x:c r="Q10" s="10" t="n">
        <x:v>1</x:v>
      </x:c>
      <x:c r="R10" s="10" t="n">
        <x:v>0</x:v>
      </x:c>
      <x:c r="S10" s="10" t="n">
        <x:v>0</x:v>
      </x:c>
      <x:c r="T10" s="10" t="n">
        <x:v>1</x:v>
      </x:c>
      <x:c r="U10" s="10" t="n">
        <x:v>1</x:v>
      </x:c>
      <x:c r="V10" s="10" t="n">
        <x:v>0</x:v>
      </x:c>
      <x:c r="W10" s="10" t="n">
        <x:v>0</x:v>
      </x:c>
      <x:c r="X10" s="10" t="n">
        <x:v>0</x:v>
      </x:c>
      <x:c r="Y10" s="10" t="n">
        <x:v>0</x:v>
      </x:c>
      <x:c r="Z10" s="10" t="n">
        <x:v>0</x:v>
      </x:c>
      <x:c r="AA10" s="10" t="n">
        <x:v>1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f>SUM(C10:AE10)</x:f>
        <x:v>14</x:v>
      </x:c>
    </x:row>
    <x:row r="11">
      <x:c r="A11" s="10" t="str">
        <x:v>H</x:v>
      </x:c>
      <x:c r="B11" s="10" t="str">
        <x:v>AUSIT 澳大利亚</x:v>
      </x:c>
      <x:c r="C11" s="10" t="n">
        <x:v>1</x:v>
      </x:c>
      <x:c r="D11" s="10" t="n">
        <x:v>1</x:v>
      </x:c>
      <x:c r="E11" s="10" t="n">
        <x:v>1</x:v>
      </x:c>
      <x:c r="F11" s="10" t="n">
        <x:v>1</x:v>
      </x:c>
      <x:c r="G11" s="10" t="n">
        <x:v>1</x:v>
      </x:c>
      <x:c r="H11" s="10" t="n">
        <x:v>1</x:v>
      </x:c>
      <x:c r="I11" s="10" t="n">
        <x:v>1</x:v>
      </x:c>
      <x:c r="J11" s="10" t="n">
        <x:v>1</x:v>
      </x:c>
      <x:c r="K11" s="10" t="n">
        <x:v>0</x:v>
      </x:c>
      <x:c r="L11" s="10" t="n">
        <x:v>0</x:v>
      </x:c>
      <x:c r="M11" s="10" t="n">
        <x:v>0</x:v>
      </x:c>
      <x:c r="N11" s="10" t="n">
        <x:v>1</x:v>
      </x:c>
      <x:c r="O11" s="10" t="n">
        <x:v>0</x:v>
      </x:c>
      <x:c r="P11" s="10" t="n">
        <x:v>1</x:v>
      </x:c>
      <x:c r="Q11" s="10" t="n">
        <x:v>1</x:v>
      </x:c>
      <x:c r="R11" s="10" t="n">
        <x:v>1</x:v>
      </x:c>
      <x:c r="S11" s="10" t="n">
        <x:v>1</x:v>
      </x:c>
      <x:c r="T11" s="10" t="n">
        <x:v>1</x:v>
      </x:c>
      <x:c r="U11" s="10" t="n">
        <x:v>1</x:v>
      </x:c>
      <x:c r="V11" s="10" t="n">
        <x:v>0</x:v>
      </x:c>
      <x:c r="W11" s="10" t="n">
        <x:v>0</x:v>
      </x:c>
      <x:c r="X11" s="10" t="n">
        <x:v>0</x:v>
      </x:c>
      <x:c r="Y11" s="10" t="n">
        <x:v>0</x:v>
      </x:c>
      <x:c r="Z11" s="10" t="n">
        <x:v>0</x:v>
      </x:c>
      <x:c r="AA11" s="10" t="n">
        <x:v>0</x:v>
      </x:c>
      <x:c r="AB11" s="10" t="n">
        <x:v>0</x:v>
      </x:c>
      <x:c r="AC11" s="10" t="n">
        <x:v>0</x:v>
      </x:c>
      <x:c r="AD11" s="10" t="n">
        <x:v>0</x:v>
      </x:c>
      <x:c r="AE11" s="10" t="n">
        <x:v>0</x:v>
      </x:c>
      <x:c r="AF11" s="10" t="n">
        <x:f>SUM(C11:AE11)</x:f>
        <x:v>15</x:v>
      </x:c>
    </x:row>
    <x:row r="12">
      <x:c r="A12" s="10" t="str">
        <x:v>H</x:v>
      </x:c>
      <x:c r="B12" s="10" t="str">
        <x:v>AIIC 会议</x:v>
      </x:c>
      <x:c r="C12" s="10" t="n">
        <x:v>1</x:v>
      </x:c>
      <x:c r="D12" s="10" t="n">
        <x:v>1</x:v>
      </x:c>
      <x:c r="E12" s="10" t="n">
        <x:v>1</x:v>
      </x:c>
      <x:c r="F12" s="10" t="n">
        <x:v>1</x:v>
      </x:c>
      <x:c r="G12" s="10" t="n">
        <x:v>1</x:v>
      </x:c>
      <x:c r="H12" s="10" t="n">
        <x:v>1</x:v>
      </x:c>
      <x:c r="I12" s="10" t="n">
        <x:v>0</x:v>
      </x:c>
      <x:c r="J12" s="10" t="n">
        <x:v>1</x:v>
      </x:c>
      <x:c r="K12" s="10" t="n">
        <x:v>0</x:v>
      </x:c>
      <x:c r="L12" s="10" t="n">
        <x:v>1</x:v>
      </x:c>
      <x:c r="M12" s="10" t="n">
        <x:v>0</x:v>
      </x:c>
      <x:c r="N12" s="10" t="n">
        <x:v>0</x:v>
      </x:c>
      <x:c r="O12" s="10" t="n">
        <x:v>0</x:v>
      </x:c>
      <x:c r="P12" s="10" t="n">
        <x:v>1</x:v>
      </x:c>
      <x:c r="Q12" s="10" t="n">
        <x:v>0</x:v>
      </x:c>
      <x:c r="R12" s="10" t="n">
        <x:v>0</x:v>
      </x:c>
      <x:c r="S12" s="10" t="n">
        <x:v>0</x:v>
      </x:c>
      <x:c r="T12" s="10" t="n">
        <x:v>0</x:v>
      </x:c>
      <x:c r="U12" s="10" t="n">
        <x:v>1</x:v>
      </x:c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f>SUM(C12:AE12)</x:f>
        <x:v>10</x:v>
      </x:c>
    </x:row>
    <x:row r="13">
      <x:c r="A13" s="10" t="str">
        <x:v>H</x:v>
      </x:c>
      <x:c r="B13" s="10" t="str">
        <x:v>FIT 国际联盟</x:v>
      </x:c>
      <x:c r="C13" s="10" t="n">
        <x:v>1</x:v>
      </x:c>
      <x:c r="D13" s="10" t="n">
        <x:v>1</x:v>
      </x:c>
      <x:c r="E13" s="10" t="n">
        <x:v>1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1</x:v>
      </x:c>
      <x:c r="K13" s="10" t="n">
        <x:v>1</x:v>
      </x:c>
      <x:c r="L13" s="10" t="n">
        <x:v>0</x:v>
      </x:c>
      <x:c r="M13" s="10" t="n">
        <x:v>0</x:v>
      </x:c>
      <x:c r="N13" s="10" t="n">
        <x:v>1</x:v>
      </x:c>
      <x:c r="O13" s="10" t="n">
        <x:v>0</x:v>
      </x:c>
      <x:c r="P13" s="10" t="n">
        <x:v>1</x:v>
      </x:c>
      <x:c r="Q13" s="10" t="n">
        <x:v>0</x:v>
      </x:c>
      <x:c r="R13" s="10" t="n">
        <x:v>0</x:v>
      </x:c>
      <x:c r="S13" s="10" t="n">
        <x:v>1</x:v>
      </x:c>
      <x:c r="T13" s="10" t="n">
        <x:v>0</x:v>
      </x:c>
      <x:c r="U13" s="10" t="n">
        <x:v>0</x:v>
      </x:c>
      <x:c r="V13" s="10" t="n">
        <x:v>1</x:v>
      </x:c>
      <x:c r="W13" s="10" t="n">
        <x:v>0</x:v>
      </x:c>
      <x:c r="X13" s="10" t="n">
        <x:v>0</x:v>
      </x:c>
      <x:c r="Y13" s="10" t="n">
        <x:v>0</x:v>
      </x:c>
      <x:c r="Z13" s="10" t="n">
        <x:v>0</x:v>
      </x:c>
      <x:c r="AA13" s="10" t="n">
        <x:v>1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f>SUM(C13:AE13)</x:f>
        <x:v>10</x:v>
      </x:c>
    </x:row>
    <x:row r="14">
      <x:c r="A14" s="10" t="str">
        <x:v>H</x:v>
      </x:c>
      <x:c r="B14" s="10" t="str">
        <x:v>SATI 南非</x:v>
      </x:c>
      <x:c r="C14" s="10" t="n">
        <x:v>1</x:v>
      </x:c>
      <x:c r="D14" s="10" t="n">
        <x:v>1</x:v>
      </x:c>
      <x:c r="E14" s="10" t="n">
        <x:v>0</x:v>
      </x:c>
      <x:c r="F14" s="10" t="n">
        <x:v>1</x:v>
      </x:c>
      <x:c r="G14" s="10" t="n">
        <x:v>1</x:v>
      </x:c>
      <x:c r="H14" s="10" t="n">
        <x:v>0</x:v>
      </x:c>
      <x:c r="I14" s="10" t="n">
        <x:v>0</x:v>
      </x:c>
      <x:c r="J14" s="10" t="n">
        <x:v>1</x:v>
      </x:c>
      <x:c r="K14" s="10" t="n">
        <x:v>0</x:v>
      </x:c>
      <x:c r="L14" s="10" t="n">
        <x:v>0</x:v>
      </x:c>
      <x:c r="M14" s="10" t="n">
        <x:v>0</x:v>
      </x:c>
      <x:c r="N14" s="10" t="n">
        <x:v>1</x:v>
      </x:c>
      <x:c r="O14" s="10" t="n">
        <x:v>0</x:v>
      </x:c>
      <x:c r="P14" s="10" t="n">
        <x:v>1</x:v>
      </x:c>
      <x:c r="Q14" s="10" t="n">
        <x:v>0</x:v>
      </x:c>
      <x:c r="R14" s="10" t="n">
        <x:v>0</x:v>
      </x:c>
      <x:c r="S14" s="10" t="n">
        <x:v>1</x:v>
      </x:c>
      <x:c r="T14" s="10" t="n">
        <x:v>0</x:v>
      </x:c>
      <x:c r="U14" s="10" t="n">
        <x:v>0</x:v>
      </x:c>
      <x:c r="V14" s="10" t="n">
        <x:v>1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f>SUM(C14:AE14)</x:f>
        <x:v>9</x:v>
      </x:c>
    </x:row>
    <x:row r="15">
      <x:c r="A15" s="10" t="str">
        <x:v>H</x:v>
      </x:c>
      <x:c r="B15" s="10" t="str">
        <x:v>BDÜ 德国</x:v>
      </x:c>
      <x:c r="C15" s="10" t="n">
        <x:v>1</x:v>
      </x:c>
      <x:c r="D15" s="10" t="n">
        <x:v>1</x:v>
      </x:c>
      <x:c r="E15" s="10" t="n">
        <x:v>1</x:v>
      </x:c>
      <x:c r="F15" s="10" t="n">
        <x:v>1</x:v>
      </x:c>
      <x:c r="G15" s="10" t="n">
        <x:v>1</x:v>
      </x:c>
      <x:c r="H15" s="10" t="n">
        <x:v>1</x:v>
      </x:c>
      <x:c r="I15" s="10" t="n">
        <x:v>0</x:v>
      </x:c>
      <x:c r="J15" s="10" t="n">
        <x:v>0</x:v>
      </x:c>
      <x:c r="K15" s="10" t="n">
        <x:v>0</x:v>
      </x:c>
      <x:c r="L15" s="10" t="n">
        <x:v>1</x:v>
      </x:c>
      <x:c r="M15" s="10" t="n">
        <x:v>0</x:v>
      </x:c>
      <x:c r="N15" s="10" t="n">
        <x:v>1</x:v>
      </x:c>
      <x:c r="O15" s="10" t="n">
        <x:v>0</x:v>
      </x:c>
      <x:c r="P15" s="10" t="n">
        <x:v>1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1</x:v>
      </x:c>
      <x:c r="V15" s="10" t="n">
        <x:v>1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f>SUM(C15:AE15)</x:f>
        <x:v>11</x:v>
      </x:c>
    </x:row>
    <x:row r="16">
      <x:c r="A16" s="10" t="str">
        <x:v>H</x:v>
      </x:c>
      <x:c r="B16" s="10" t="str">
        <x:v>ITI 英国</x:v>
      </x:c>
      <x:c r="C16" s="10" t="n">
        <x:v>1</x:v>
      </x:c>
      <x:c r="D16" s="10" t="n">
        <x:v>1</x:v>
      </x:c>
      <x:c r="E16" s="10" t="n">
        <x:v>0</x:v>
      </x:c>
      <x:c r="F16" s="10" t="n">
        <x:v>1</x:v>
      </x:c>
      <x:c r="G16" s="10" t="n">
        <x:v>1</x:v>
      </x:c>
      <x:c r="H16" s="10" t="n">
        <x:v>1</x:v>
      </x:c>
      <x:c r="I16" s="10" t="n">
        <x:v>1</x:v>
      </x:c>
      <x:c r="J16" s="10" t="n">
        <x:v>1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1</x:v>
      </x:c>
      <x:c r="Q16" s="10" t="n">
        <x:v>1</x:v>
      </x:c>
      <x:c r="R16" s="10" t="n">
        <x:v>1</x:v>
      </x:c>
      <x:c r="S16" s="10" t="n">
        <x:v>1</x:v>
      </x:c>
      <x:c r="T16" s="10" t="n">
        <x:v>1</x:v>
      </x:c>
      <x:c r="U16" s="10" t="n">
        <x:v>1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1</x:v>
      </x:c>
      <x:c r="AF16" s="10" t="n">
        <x:f>SUM(C16:AE16)</x:f>
        <x:v>14</x:v>
      </x:c>
    </x:row>
    <x:row r="17">
      <x:c r="A17" s="10" t="str">
        <x:v>H</x:v>
      </x:c>
      <x:c r="B17" s="10" t="str">
        <x:v>ATA 美国</x:v>
      </x:c>
      <x:c r="C17" s="10" t="n">
        <x:v>1</x:v>
      </x:c>
      <x:c r="D17" s="10" t="n">
        <x:v>1</x:v>
      </x:c>
      <x:c r="E17" s="10" t="n">
        <x:v>1</x:v>
      </x:c>
      <x:c r="F17" s="10" t="n">
        <x:v>1</x:v>
      </x:c>
      <x:c r="G17" s="10" t="n">
        <x:v>1</x:v>
      </x:c>
      <x:c r="H17" s="10" t="n">
        <x:v>1</x:v>
      </x:c>
      <x:c r="I17" s="10" t="n">
        <x:v>0</x:v>
      </x:c>
      <x:c r="J17" s="10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1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f>SUM(C17:AE17)</x:f>
        <x:v>7</x:v>
      </x:c>
    </x:row>
    <x:row r="18">
      <x:c r="A18" s="10" t="str">
        <x:v>H</x:v>
      </x:c>
      <x:c r="B18" s="10" t="str">
        <x:v>NZSTI 新西兰</x:v>
      </x:c>
      <x:c r="C18" s="10" t="n">
        <x:v>1</x:v>
      </x:c>
      <x:c r="D18" s="10" t="n">
        <x:v>1</x:v>
      </x:c>
      <x:c r="E18" s="10" t="n">
        <x:v>1</x:v>
      </x:c>
      <x:c r="F18" s="10" t="n">
        <x:v>1</x:v>
      </x:c>
      <x:c r="G18" s="10" t="n">
        <x:v>1</x:v>
      </x:c>
      <x:c r="H18" s="10" t="n">
        <x:v>1</x:v>
      </x:c>
      <x:c r="I18" s="10" t="n">
        <x:v>1</x:v>
      </x:c>
      <x:c r="J18" s="10" t="n">
        <x:v>1</x:v>
      </x:c>
      <x:c r="K18" s="10" t="n">
        <x:v>0</x:v>
      </x:c>
      <x:c r="L18" s="10" t="n">
        <x:v>1</x:v>
      </x:c>
      <x:c r="M18" s="10" t="n">
        <x:v>0</x:v>
      </x:c>
      <x:c r="N18" s="10" t="n">
        <x:v>0</x:v>
      </x:c>
      <x:c r="O18" s="10" t="n">
        <x:v>0</x:v>
      </x:c>
      <x:c r="P18" s="10" t="n">
        <x:v>1</x:v>
      </x:c>
      <x:c r="Q18" s="10" t="n">
        <x:v>1</x:v>
      </x:c>
      <x:c r="R18" s="10" t="n">
        <x:v>0</x:v>
      </x:c>
      <x:c r="S18" s="10" t="n">
        <x:v>0</x:v>
      </x:c>
      <x:c r="T18" s="10" t="n">
        <x:v>0</x:v>
      </x:c>
      <x:c r="U18" s="10" t="n">
        <x:v>1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f>SUM(C18:AE18)</x:f>
        <x:v>12</x:v>
      </x:c>
    </x:row>
    <x:row r="19">
      <x:c r="A19" s="10" t="str">
        <x:v>AI宣言</x:v>
      </x:c>
      <x:c r="B19" s="10" t="str">
        <x:v>CEATL 文学译协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1</x:v>
      </x:c>
      <x:c r="P19" s="10" t="n">
        <x:v>0</x:v>
      </x:c>
      <x:c r="Q19" s="10" t="n">
        <x:v>0</x:v>
      </x:c>
      <x:c r="R19" s="10" t="n">
        <x:v>1</x:v>
      </x:c>
      <x:c r="S19" s="10" t="n">
        <x:v>1</x:v>
      </x:c>
      <x:c r="T19" s="10" t="n">
        <x:v>0</x:v>
      </x:c>
      <x:c r="U19" s="10" t="n">
        <x:v>0</x:v>
      </x:c>
      <x:c r="V19" s="10" t="n">
        <x:v>1</x:v>
      </x:c>
      <x:c r="W19" s="10" t="n">
        <x:v>1</x:v>
      </x:c>
      <x:c r="X19" s="10" t="n">
        <x:v>0</x:v>
      </x:c>
      <x:c r="Y19" s="10" t="n">
        <x:v>0</x:v>
      </x:c>
      <x:c r="Z19" s="10" t="n">
        <x:v>0</x:v>
      </x:c>
      <x:c r="AA19" s="10" t="n">
        <x:v>1</x:v>
      </x:c>
      <x:c r="AB19" s="10" t="n">
        <x:v>0</x:v>
      </x:c>
      <x:c r="AC19" s="10" t="n">
        <x:v>1</x:v>
      </x:c>
      <x:c r="AD19" s="10" t="n">
        <x:v>0</x:v>
      </x:c>
      <x:c r="AE19" s="10" t="n">
        <x:v>0</x:v>
      </x:c>
      <x:c r="AF19" s="10" t="n">
        <x:f>SUM(C19:AE19)</x:f>
        <x:v>7</x:v>
      </x:c>
    </x:row>
    <x:row r="20">
      <x:c r="A20" s="10" t="str">
        <x:v>AI宣言</x:v>
      </x:c>
      <x:c r="B20" s="10" t="str">
        <x:v>ITI 慢翻译</x:v>
      </x:c>
      <x:c r="C20" s="10" t="n">
        <x:v>0</x:v>
      </x:c>
      <x:c r="D20" s="10" t="n">
        <x:v>0</x:v>
      </x:c>
      <x:c r="E20" s="10" t="n">
        <x:v>1</x:v>
      </x:c>
      <x:c r="F20" s="10" t="n">
        <x:v>0</x:v>
      </x:c>
      <x:c r="G20" s="10" t="n">
        <x:v>0</x:v>
      </x:c>
      <x:c r="H20" s="10" t="n">
        <x:v>0</x:v>
      </x:c>
      <x:c r="I20" s="10" t="n">
        <x:v>0</x:v>
      </x:c>
      <x:c r="J20" s="10" t="n">
        <x:v>1</x:v>
      </x:c>
      <x:c r="K20" s="10" t="n">
        <x:v>1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1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f>SUM(C20:AE20)</x:f>
        <x:v>4</x:v>
      </x:c>
    </x:row>
    <x:row r="21">
      <x:c r="A21" s="10" t="str">
        <x:v>AI宣言</x:v>
      </x:c>
      <x:c r="B21" s="10" t="str">
        <x:v>FIT AI口译</x:v>
      </x:c>
      <x:c r="C21" s="10" t="n">
        <x:v>1</x:v>
      </x:c>
      <x:c r="D21" s="10" t="n">
        <x:v>1</x:v>
      </x:c>
      <x:c r="E21" s="10" t="n">
        <x:v>1</x:v>
      </x:c>
      <x:c r="F21" s="10" t="n">
        <x:v>0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1</x:v>
      </x:c>
      <x:c r="L21" s="10" t="n">
        <x:v>0</x:v>
      </x:c>
      <x:c r="M21" s="10" t="n">
        <x:v>0</x:v>
      </x:c>
      <x:c r="N21" s="10" t="n">
        <x:v>1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1</x:v>
      </x:c>
      <x:c r="V21" s="10" t="n">
        <x:v>0</x:v>
      </x:c>
      <x:c r="W21" s="10" t="n">
        <x:v>1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1</x:v>
      </x:c>
      <x:c r="AC21" s="10" t="n">
        <x:v>0</x:v>
      </x:c>
      <x:c r="AD21" s="10" t="n">
        <x:v>0</x:v>
      </x:c>
      <x:c r="AE21" s="10" t="n">
        <x:v>1</x:v>
      </x:c>
      <x:c r="AF21" s="10" t="n">
        <x:f>SUM(C21:AE21)</x:f>
        <x:v>9</x:v>
      </x:c>
    </x:row>
    <x:row r="22">
      <x:c r="A22" s="10" t="str">
        <x:v>AI宣言</x:v>
      </x:c>
      <x:c r="B22" s="10" t="str">
        <x:v>FIT MT声明</x:v>
      </x:c>
      <x:c r="C22" s="10" t="n">
        <x:v>1</x:v>
      </x:c>
      <x:c r="D22" s="10" t="n">
        <x:v>1</x:v>
      </x:c>
      <x:c r="E22" s="10" t="n">
        <x:v>0</x:v>
      </x:c>
      <x:c r="F22" s="10" t="n">
        <x:v>1</x:v>
      </x:c>
      <x:c r="G22" s="10" t="n">
        <x:v>1</x:v>
      </x:c>
      <x:c r="H22" s="10" t="n">
        <x:v>0</x:v>
      </x:c>
      <x:c r="I22" s="10" t="n">
        <x:v>0</x:v>
      </x:c>
      <x:c r="J22" s="10" t="n">
        <x:v>1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1</x:v>
      </x:c>
      <x:c r="Q22" s="10" t="n">
        <x:v>0</x:v>
      </x:c>
      <x:c r="R22" s="10" t="n">
        <x:v>1</x:v>
      </x:c>
      <x:c r="S22" s="10" t="n">
        <x:v>1</x:v>
      </x:c>
      <x:c r="T22" s="10" t="n">
        <x:v>0</x:v>
      </x:c>
      <x:c r="U22" s="10" t="n">
        <x:v>0</x:v>
      </x:c>
      <x:c r="V22" s="10" t="n">
        <x:v>0</x:v>
      </x:c>
      <x:c r="W22" s="10" t="n">
        <x:v>1</x:v>
      </x:c>
      <x:c r="X22" s="10" t="n">
        <x:v>1</x:v>
      </x:c>
      <x:c r="Y22" s="10" t="n">
        <x:v>0</x:v>
      </x:c>
      <x:c r="Z22" s="10" t="n">
        <x:v>1</x:v>
      </x:c>
      <x:c r="AA22" s="10" t="n">
        <x:v>0</x:v>
      </x:c>
      <x:c r="AB22" s="10" t="n">
        <x:v>0</x:v>
      </x:c>
      <x:c r="AC22" s="10" t="n">
        <x:v>0</x:v>
      </x:c>
      <x:c r="AD22" s="10" t="n">
        <x:v>1</x:v>
      </x:c>
      <x:c r="AE22" s="10" t="n">
        <x:v>0</x:v>
      </x:c>
      <x:c r="AF22" s="10" t="n">
        <x:f>SUM(C22:AE22)</x:f>
        <x:v>12</x:v>
      </x:c>
    </x:row>
    <x:row r="23">
      <x:c r="A23" s="10" t="str">
        <x:v>AI宣言</x:v>
      </x:c>
      <x:c r="B23" s="10" t="str">
        <x:v>AVTE AI声明</x:v>
      </x:c>
      <x:c r="C23" s="10" t="n">
        <x:v>0</x:v>
      </x:c>
      <x:c r="D23" s="10" t="n">
        <x:v>0</x:v>
      </x:c>
      <x:c r="E23" s="10" t="n">
        <x:v>1</x:v>
      </x:c>
      <x:c r="F23" s="10" t="n">
        <x:v>0</x:v>
      </x:c>
      <x:c r="G23" s="10" t="n">
        <x:v>0</x:v>
      </x:c>
      <x:c r="H23" s="10" t="n">
        <x:v>0</x:v>
      </x:c>
      <x:c r="I23" s="10" t="n">
        <x:v>1</x:v>
      </x:c>
      <x:c r="J23" s="10" t="n">
        <x:v>1</x:v>
      </x:c>
      <x:c r="K23" s="10" t="n">
        <x:v>1</x:v>
      </x:c>
      <x:c r="L23" s="10" t="n">
        <x:v>0</x:v>
      </x:c>
      <x:c r="M23" s="10" t="n">
        <x:v>0</x:v>
      </x:c>
      <x:c r="N23" s="10" t="n">
        <x:v>0</x:v>
      </x:c>
      <x:c r="O23" s="10" t="n">
        <x:v>1</x:v>
      </x:c>
      <x:c r="P23" s="10" t="n">
        <x:v>0</x:v>
      </x:c>
      <x:c r="Q23" s="10" t="n">
        <x:v>0</x:v>
      </x:c>
      <x:c r="R23" s="10" t="n">
        <x:v>1</x:v>
      </x:c>
      <x:c r="S23" s="10" t="n">
        <x:v>1</x:v>
      </x:c>
      <x:c r="T23" s="10" t="n">
        <x:v>0</x:v>
      </x:c>
      <x:c r="U23" s="10" t="n">
        <x:v>1</x:v>
      </x:c>
      <x:c r="V23" s="10" t="n">
        <x:v>1</x:v>
      </x:c>
      <x:c r="W23" s="10" t="n">
        <x:v>1</x:v>
      </x:c>
      <x:c r="X23" s="10" t="n">
        <x:v>1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1</x:v>
      </x:c>
      <x:c r="AE23" s="10" t="n">
        <x:v>0</x:v>
      </x:c>
      <x:c r="AF23" s="10" t="n">
        <x:f>SUM(C23:AE23)</x:f>
        <x:v>12</x:v>
      </x:c>
    </x:row>
    <x:row r="24">
      <x:c r="A24" s="10" t="str">
        <x:v>AI宣言</x:v>
      </x:c>
      <x:c r="B24" s="10" t="str">
        <x:v>AVTE MT宣言</x:v>
      </x:c>
      <x:c r="C24" s="10" t="n">
        <x:v>0</x:v>
      </x:c>
      <x:c r="D24" s="10" t="n">
        <x:v>1</x:v>
      </x:c>
      <x:c r="E24" s="10" t="n">
        <x:v>1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1</x:v>
      </x:c>
      <x:c r="K24" s="10" t="n">
        <x:v>1</x:v>
      </x:c>
      <x:c r="L24" s="10" t="n">
        <x:v>0</x:v>
      </x:c>
      <x:c r="M24" s="10" t="n">
        <x:v>0</x:v>
      </x:c>
      <x:c r="N24" s="10" t="n">
        <x:v>0</x:v>
      </x:c>
      <x:c r="O24" s="10" t="n">
        <x:v>1</x:v>
      </x:c>
      <x:c r="P24" s="10" t="n">
        <x:v>0</x:v>
      </x:c>
      <x:c r="Q24" s="10" t="n">
        <x:v>0</x:v>
      </x:c>
      <x:c r="R24" s="10" t="n">
        <x:v>1</x:v>
      </x:c>
      <x:c r="S24" s="10" t="n">
        <x:v>0</x:v>
      </x:c>
      <x:c r="T24" s="10" t="n">
        <x:v>0</x:v>
      </x:c>
      <x:c r="U24" s="10" t="n">
        <x:v>1</x:v>
      </x:c>
      <x:c r="V24" s="10" t="n">
        <x:v>1</x:v>
      </x:c>
      <x:c r="W24" s="10" t="n">
        <x:v>1</x:v>
      </x:c>
      <x:c r="X24" s="10" t="n">
        <x:v>0</x:v>
      </x:c>
      <x:c r="Y24" s="10" t="n">
        <x:v>0</x:v>
      </x:c>
      <x:c r="Z24" s="10" t="n">
        <x:v>1</x:v>
      </x:c>
      <x:c r="AA24" s="10" t="n">
        <x:v>1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f>SUM(C24:AE24)</x:f>
        <x:v>12</x:v>
      </x:c>
    </x:row>
    <x:row r="25">
      <x:c r="A25" s="10" t="str">
        <x:v>AI宣言</x:v>
      </x:c>
      <x:c r="B25" s="10" t="str">
        <x:v>SFT 法国</x:v>
      </x:c>
      <x:c r="C25" s="10" t="n">
        <x:v>1</x:v>
      </x:c>
      <x:c r="D25" s="10" t="n">
        <x:v>0</x:v>
      </x:c>
      <x:c r="E25" s="10" t="n">
        <x:v>1</x:v>
      </x:c>
      <x:c r="F25" s="10" t="n">
        <x:v>1</x:v>
      </x:c>
      <x:c r="G25" s="10" t="n">
        <x:v>1</x:v>
      </x:c>
      <x:c r="H25" s="10" t="n">
        <x:v>0</x:v>
      </x:c>
      <x:c r="I25" s="10" t="n">
        <x:v>0</x:v>
      </x:c>
      <x:c r="J25" s="10" t="n">
        <x:v>1</x:v>
      </x:c>
      <x:c r="K25" s="10" t="n">
        <x:v>1</x:v>
      </x:c>
      <x:c r="L25" s="10" t="n">
        <x:v>0</x:v>
      </x:c>
      <x:c r="M25" s="10" t="n">
        <x:v>0</x:v>
      </x:c>
      <x:c r="N25" s="10" t="n">
        <x:v>1</x:v>
      </x:c>
      <x:c r="O25" s="10" t="n">
        <x:v>1</x:v>
      </x:c>
      <x:c r="P25" s="10" t="n">
        <x:v>1</x:v>
      </x:c>
      <x:c r="Q25" s="10" t="n">
        <x:v>0</x:v>
      </x:c>
      <x:c r="R25" s="10" t="n">
        <x:v>1</x:v>
      </x:c>
      <x:c r="S25" s="10" t="n">
        <x:v>1</x:v>
      </x:c>
      <x:c r="T25" s="10" t="n">
        <x:v>0</x:v>
      </x:c>
      <x:c r="U25" s="10" t="n">
        <x:v>1</x:v>
      </x:c>
      <x:c r="V25" s="10" t="n">
        <x:v>1</x:v>
      </x:c>
      <x:c r="W25" s="10" t="n">
        <x:v>1</x:v>
      </x:c>
      <x:c r="X25" s="10" t="n">
        <x:v>0</x:v>
      </x:c>
      <x:c r="Y25" s="10" t="n">
        <x:v>0</x:v>
      </x:c>
      <x:c r="Z25" s="10" t="n">
        <x:v>0</x:v>
      </x:c>
      <x:c r="AA25" s="10" t="n">
        <x:v>1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f>SUM(C25:AE25)</x:f>
        <x:v>15</x:v>
      </x:c>
    </x:row>
    <x:row r="26">
      <x:c r="A26" s="10" t="str">
        <x:v>AI宣言</x:v>
      </x:c>
      <x:c r="B26" s="10" t="str">
        <x:v>CIOL AI Voices</x:v>
      </x:c>
      <x:c r="C26" s="10" t="n">
        <x:v>0</x:v>
      </x:c>
      <x:c r="D26" s="10" t="n">
        <x:v>1</x:v>
      </x:c>
      <x:c r="E26" s="10" t="n">
        <x:v>1</x:v>
      </x:c>
      <x:c r="F26" s="10" t="n">
        <x:v>1</x:v>
      </x:c>
      <x:c r="G26" s="10" t="n">
        <x:v>1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1</x:v>
      </x:c>
      <x:c r="N26" s="10" t="n">
        <x:v>1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1</x:v>
      </x:c>
      <x:c r="V26" s="10" t="n">
        <x:v>1</x:v>
      </x:c>
      <x:c r="W26" s="10" t="n">
        <x:v>0</x:v>
      </x:c>
      <x:c r="X26" s="10" t="n">
        <x:v>1</x:v>
      </x:c>
      <x:c r="Y26" s="10" t="n">
        <x:v>0</x:v>
      </x:c>
      <x:c r="Z26" s="10" t="n">
        <x:v>1</x:v>
      </x:c>
      <x:c r="AA26" s="10" t="n">
        <x:v>0</x:v>
      </x:c>
      <x:c r="AB26" s="10" t="n">
        <x:v>0</x:v>
      </x:c>
      <x:c r="AC26" s="10" t="n">
        <x:v>1</x:v>
      </x:c>
      <x:c r="AD26" s="10" t="n">
        <x:v>1</x:v>
      </x:c>
      <x:c r="AE26" s="10" t="n">
        <x:v>0</x:v>
      </x:c>
      <x:c r="AF26" s="10" t="n">
        <x:f>SUM(C26:AE26)</x:f>
        <x:v>12</x:v>
      </x:c>
    </x:row>
    <x:row r="27">
      <x:c r="A27" s="10" t="str">
        <x:v>AI宣言</x:v>
      </x:c>
      <x:c r="B27" s="10" t="str">
        <x:v>SAFE-AI 口译</x:v>
      </x:c>
      <x:c r="C27" s="10" t="n">
        <x:v>0</x:v>
      </x:c>
      <x:c r="D27" s="10" t="n">
        <x:v>0</x:v>
      </x:c>
      <x:c r="E27" s="10" t="n">
        <x:v>0</x:v>
      </x:c>
      <x:c r="F27" s="10" t="n">
        <x:v>1</x:v>
      </x:c>
      <x:c r="G27" s="10" t="n">
        <x:v>0</x:v>
      </x:c>
      <x:c r="H27" s="10" t="n">
        <x:v>0</x:v>
      </x:c>
      <x:c r="I27" s="10" t="n">
        <x:v>1</x:v>
      </x:c>
      <x:c r="J27" s="10" t="n">
        <x:v>1</x:v>
      </x:c>
      <x:c r="K27" s="10" t="n">
        <x:v>0</x:v>
      </x:c>
      <x:c r="L27" s="10" t="n">
        <x:v>1</x:v>
      </x:c>
      <x:c r="M27" s="10" t="n">
        <x:v>1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1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1</x:v>
      </x:c>
      <x:c r="Y27" s="10" t="n">
        <x:v>0</x:v>
      </x:c>
      <x:c r="Z27" s="10" t="n">
        <x:v>1</x:v>
      </x:c>
      <x:c r="AA27" s="10" t="n">
        <x:v>0</x:v>
      </x:c>
      <x:c r="AB27" s="10" t="n">
        <x:v>0</x:v>
      </x:c>
      <x:c r="AC27" s="10" t="n">
        <x:v>1</x:v>
      </x:c>
      <x:c r="AD27" s="10" t="n">
        <x:v>0</x:v>
      </x:c>
      <x:c r="AE27" s="10" t="n">
        <x:v>1</x:v>
      </x:c>
      <x:c r="AF27" s="10" t="n">
        <x:f>SUM(C27:AE27)</x:f>
        <x:v>10</x:v>
      </x:c>
    </x:row>
    <x:row r="28">
      <x:c r="A28" s="10" t="str">
        <x:v>AI宣言</x:v>
      </x:c>
      <x:c r="B28" s="10" t="str">
        <x:v>AUSIT AI立场</x:v>
      </x:c>
      <x:c r="C28" s="10" t="n">
        <x:v>1</x:v>
      </x:c>
      <x:c r="D28" s="10" t="n">
        <x:v>1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0</x:v>
      </x:c>
      <x:c r="J28" s="10" t="n">
        <x:v>1</x:v>
      </x:c>
      <x:c r="K28" s="10" t="n">
        <x:v>0</x:v>
      </x:c>
      <x:c r="L28" s="10" t="n">
        <x:v>1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1</x:v>
      </x:c>
      <x:c r="S28" s="10" t="n">
        <x:v>0</x:v>
      </x:c>
      <x:c r="T28" s="10" t="n">
        <x:v>0</x:v>
      </x:c>
      <x:c r="U28" s="10" t="n">
        <x:v>0</x:v>
      </x:c>
      <x:c r="V28" s="10" t="n">
        <x:v>1</x:v>
      </x:c>
      <x:c r="W28" s="10" t="n">
        <x:v>0</x:v>
      </x:c>
      <x:c r="X28" s="10" t="n">
        <x:v>1</x:v>
      </x:c>
      <x:c r="Y28" s="10" t="n">
        <x:v>0</x:v>
      </x:c>
      <x:c r="Z28" s="10" t="n">
        <x:v>1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1</x:v>
      </x:c>
      <x:c r="AF28" s="10" t="n">
        <x:f>SUM(C28:AE28)</x:f>
        <x:v>9</x:v>
      </x:c>
    </x:row>
    <x:row r="29">
      <x:c r="A29" s="10" t="str">
        <x:v>严格M</x:v>
      </x:c>
      <x:c r="B29" s="10" t="str">
        <x:v>TAC 中国标准</x:v>
      </x:c>
      <x:c r="C29" s="10" t="n">
        <x:v>0</x:v>
      </x:c>
      <x:c r="D29" s="10" t="n">
        <x:v>0</x:v>
      </x:c>
      <x:c r="E29" s="10" t="n">
        <x:v>0</x:v>
      </x:c>
      <x:c r="F29" s="10" t="n">
        <x:v>0</x:v>
      </x:c>
      <x:c r="G29" s="10" t="n">
        <x:v>0</x:v>
      </x:c>
      <x:c r="H29" s="10" t="n">
        <x:v>1</x:v>
      </x:c>
      <x:c r="I29" s="10" t="n">
        <x:v>0</x:v>
      </x:c>
      <x:c r="J29" s="10" t="n">
        <x:v>1</x:v>
      </x:c>
      <x:c r="K29" s="10" t="n">
        <x:v>1</x:v>
      </x:c>
      <x:c r="L29" s="10" t="n">
        <x:v>0</x:v>
      </x:c>
      <x:c r="M29" s="10" t="n">
        <x:v>1</x:v>
      </x:c>
      <x:c r="N29" s="10" t="n">
        <x:v>1</x:v>
      </x:c>
      <x:c r="O29" s="10" t="n">
        <x:v>1</x:v>
      </x:c>
      <x:c r="P29" s="10" t="n">
        <x:v>1</x:v>
      </x:c>
      <x:c r="Q29" s="10" t="n">
        <x:v>0</x:v>
      </x:c>
      <x:c r="R29" s="10" t="n">
        <x:v>1</x:v>
      </x:c>
      <x:c r="S29" s="10" t="n">
        <x:v>1</x:v>
      </x:c>
      <x:c r="T29" s="10" t="n">
        <x:v>0</x:v>
      </x:c>
      <x:c r="U29" s="10" t="n">
        <x:v>0</x:v>
      </x:c>
      <x:c r="V29" s="10" t="n">
        <x:v>1</x:v>
      </x:c>
      <x:c r="W29" s="10" t="n">
        <x:v>1</x:v>
      </x:c>
      <x:c r="X29" s="10" t="n">
        <x:v>1</x:v>
      </x:c>
      <x:c r="Y29" s="10" t="n">
        <x:v>1</x:v>
      </x:c>
      <x:c r="Z29" s="10" t="n">
        <x:v>1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1</x:v>
      </x:c>
      <x:c r="AF29" s="10" t="n">
        <x:f>SUM(C29:AE29)</x:f>
        <x:v>15</x:v>
      </x:c>
    </x:row>
    <x:row r="30">
      <x:c r="A30" s="10" t="str">
        <x:v>严格M</x:v>
      </x:c>
      <x:c r="B30" s="10" t="str">
        <x:v>ISO18587 国际标准</x:v>
      </x:c>
      <x:c r="C30" s="10" t="n">
        <x:v>0</x:v>
      </x:c>
      <x:c r="D30" s="10" t="n">
        <x:v>1</x:v>
      </x:c>
      <x:c r="E30" s="10" t="n">
        <x:v>1</x:v>
      </x:c>
      <x:c r="F30" s="10" t="n">
        <x:v>0</x:v>
      </x:c>
      <x:c r="G30" s="10" t="n">
        <x:v>0</x:v>
      </x:c>
      <x:c r="H30" s="10" t="n">
        <x:v>1</x:v>
      </x:c>
      <x:c r="I30" s="10" t="n">
        <x:v>0</x:v>
      </x:c>
      <x:c r="J30" s="10" t="n">
        <x:v>1</x:v>
      </x:c>
      <x:c r="K30" s="10" t="n">
        <x:v>0</x:v>
      </x:c>
      <x:c r="L30" s="10" t="n">
        <x:v>1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1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f>SUM(C30:AE30)</x:f>
        <x:v>6</x:v>
      </x:c>
    </x:row>
  </x:sheetData>
  <x:conditionalFormatting sqref="C2:AE30">
    <x:cfRule type="cellIs" dxfId="0" priority="1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55" hidden="0" customWidth="1"/>
    <x:col min="12" max="12" width="12" hidden="0" customWidth="1"/>
    <x:col min="13" max="13" width="14" hidden="0" customWidth="1"/>
  </x:cols>
  <x:sheetData>
    <x:row r="1">
      <x:c r="A1" s="5" t="str">
        <x:v>#</x:v>
      </x:c>
      <x:c r="B1" s="5" t="str">
        <x:v>伦理维度</x:v>
      </x:c>
      <x:c r="C1" s="5" t="str">
        <x:v>H文件数</x:v>
      </x:c>
      <x:c r="D1" s="5" t="str">
        <x:v>H覆盖率</x:v>
      </x:c>
      <x:c r="E1" s="5" t="str">
        <x:v>严格M文件数</x:v>
      </x:c>
      <x:c r="F1" s="5" t="str">
        <x:v>严格M覆盖率</x:v>
      </x:c>
      <x:c r="G1" s="5" t="str">
        <x:v>AI宣言文件数</x:v>
      </x:c>
      <x:c r="H1" s="5" t="str">
        <x:v>AI覆盖率</x:v>
      </x:c>
      <x:c r="I1" s="5" t="str">
        <x:v>广义M文件数</x:v>
      </x:c>
      <x:c r="J1" s="5" t="str">
        <x:v>广义M覆盖率</x:v>
      </x:c>
      <x:c r="K1" s="5" t="str">
        <x:v>比较判定</x:v>
      </x:c>
      <x:c r="L1" s="5" t="str">
        <x:v>H条款数参考</x:v>
      </x:c>
      <x:c r="M1" s="5" t="str">
        <x:v>广义M条款数参考</x:v>
      </x:c>
    </x:row>
    <x:row r="2">
      <x:c r="A2" s="10" t="n">
        <x:v>1</x:v>
      </x:c>
      <x:c r="B2" s="10" t="str">
        <x:v>保密性</x:v>
      </x:c>
      <x:c r="C2" s="10" t="n">
        <x:f>SUM(Document_Matrix!C$2:C$18)</x:f>
        <x:v>17</x:v>
      </x:c>
      <x:c r="D2" s="14" t="n">
        <x:f>C2/17</x:f>
        <x:v>1</x:v>
      </x:c>
      <x:c r="E2" s="10" t="n">
        <x:f>SUM(Document_Matrix!C$29:C$30)</x:f>
        <x:v>0</x:v>
      </x:c>
      <x:c r="F2" s="14" t="n">
        <x:f>E2/2</x:f>
        <x:v>0</x:v>
      </x:c>
      <x:c r="G2" s="10" t="n">
        <x:f>SUM(Document_Matrix!C$19:C$28)</x:f>
        <x:v>4</x:v>
      </x:c>
      <x:c r="H2" s="14" t="n">
        <x:f>G2/10</x:f>
        <x:v>0.4</x:v>
      </x:c>
      <x:c r="I2" s="10" t="n">
        <x:f>SUM(Document_Matrix!C$19:C$30)</x:f>
        <x:v>4</x:v>
      </x:c>
      <x:c r="J2" s="14" t="n">
        <x:f>I2/12</x:f>
        <x:v>0.3333333333333333</x:v>
      </x:c>
      <x:c r="K2" s="10" t="str">
        <x:v>差异又共性—H类核心，AI以自己的方式在延续</x:v>
      </x:c>
      <x:c r="L2" s="10" t="str">
        <x:v>42</x:v>
      </x:c>
      <x:c r="M2" s="10" t="str">
        <x:v>5</x:v>
      </x:c>
    </x:row>
    <x:row r="3">
      <x:c r="A3" s="10" t="n">
        <x:v>2</x:v>
      </x:c>
      <x:c r="B3" s="10" t="str">
        <x:v>胜任能力</x:v>
      </x:c>
      <x:c r="C3" s="10" t="n">
        <x:f>SUM(Document_Matrix!D$2:D$18)</x:f>
        <x:v>16</x:v>
      </x:c>
      <x:c r="D3" s="14" t="n">
        <x:f>C3/17</x:f>
        <x:v>0.9411764705882353</x:v>
      </x:c>
      <x:c r="E3" s="10" t="n">
        <x:f>SUM(Document_Matrix!D$29:D$30)</x:f>
        <x:v>1</x:v>
      </x:c>
      <x:c r="F3" s="14" t="n">
        <x:f>E3/2</x:f>
        <x:v>0.5</x:v>
      </x:c>
      <x:c r="G3" s="10" t="n">
        <x:f>SUM(Document_Matrix!D$19:D$28)</x:f>
        <x:v>5</x:v>
      </x:c>
      <x:c r="H3" s="14" t="n">
        <x:f>G3/10</x:f>
        <x:v>0.5</x:v>
      </x:c>
      <x:c r="I3" s="10" t="n">
        <x:f>SUM(Document_Matrix!D$19:D$30)</x:f>
        <x:v>6</x:v>
      </x:c>
      <x:c r="J3" s="14" t="n">
        <x:f>I3/12</x:f>
        <x:v>0.5</x:v>
      </x:c>
      <x:c r="K3" s="10" t="str">
        <x:v>共性—共享核心</x:v>
      </x:c>
      <x:c r="L3" s="10" t="str">
        <x:v>53</x:v>
      </x:c>
      <x:c r="M3" s="10" t="str">
        <x:v>17</x:v>
      </x:c>
    </x:row>
    <x:row r="4">
      <x:c r="A4" s="10" t="n">
        <x:v>3</x:v>
      </x:c>
      <x:c r="B4" s="10" t="str">
        <x:v>忠实/准确</x:v>
      </x:c>
      <x:c r="C4" s="10" t="n">
        <x:f>SUM(Document_Matrix!E$2:E$18)</x:f>
        <x:v>14</x:v>
      </x:c>
      <x:c r="D4" s="14" t="n">
        <x:f>C4/17</x:f>
        <x:v>0.8235294117647058</x:v>
      </x:c>
      <x:c r="E4" s="10" t="n">
        <x:f>SUM(Document_Matrix!E$29:E$30)</x:f>
        <x:v>1</x:v>
      </x:c>
      <x:c r="F4" s="14" t="n">
        <x:f>E4/2</x:f>
        <x:v>0.5</x:v>
      </x:c>
      <x:c r="G4" s="10" t="n">
        <x:f>SUM(Document_Matrix!E$19:E$28)</x:f>
        <x:v>6</x:v>
      </x:c>
      <x:c r="H4" s="14" t="n">
        <x:f>G4/10</x:f>
        <x:v>0.6</x:v>
      </x:c>
      <x:c r="I4" s="10" t="n">
        <x:f>SUM(Document_Matrix!E$19:E$30)</x:f>
        <x:v>7</x:v>
      </x:c>
      <x:c r="J4" s="14" t="n">
        <x:f>I4/12</x:f>
        <x:v>0.5833333333333334</x:v>
      </x:c>
      <x:c r="K4" s="10" t="str">
        <x:v>共性—共享核心</x:v>
      </x:c>
      <x:c r="L4" s="10" t="str">
        <x:v>35</x:v>
      </x:c>
      <x:c r="M4" s="10" t="str">
        <x:v>13</x:v>
      </x:c>
    </x:row>
    <x:row r="5">
      <x:c r="A5" s="10" t="n">
        <x:v>4</x:v>
      </x:c>
      <x:c r="B5" s="10" t="str">
        <x:v>诚信/职业操守</x:v>
      </x:c>
      <x:c r="C5" s="10" t="n">
        <x:f>SUM(Document_Matrix!F$2:F$18)</x:f>
        <x:v>16</x:v>
      </x:c>
      <x:c r="D5" s="14" t="n">
        <x:f>C5/17</x:f>
        <x:v>0.9411764705882353</x:v>
      </x:c>
      <x:c r="E5" s="10" t="n">
        <x:f>SUM(Document_Matrix!F$29:F$30)</x:f>
        <x:v>0</x:v>
      </x:c>
      <x:c r="F5" s="14" t="n">
        <x:f>E5/2</x:f>
        <x:v>0</x:v>
      </x:c>
      <x:c r="G5" s="10" t="n">
        <x:f>SUM(Document_Matrix!F$19:F$28)</x:f>
        <x:v>4</x:v>
      </x:c>
      <x:c r="H5" s="14" t="n">
        <x:f>G5/10</x:f>
        <x:v>0.4</x:v>
      </x:c>
      <x:c r="I5" s="10" t="n">
        <x:f>SUM(Document_Matrix!F$19:F$30)</x:f>
        <x:v>4</x:v>
      </x:c>
      <x:c r="J5" s="14" t="n">
        <x:f>I5/12</x:f>
        <x:v>0.3333333333333333</x:v>
      </x:c>
      <x:c r="K5" s="10" t="str">
        <x:v>差异—H类突出</x:v>
      </x:c>
      <x:c r="L5" s="10" t="str">
        <x:v>46</x:v>
      </x:c>
      <x:c r="M5" s="10" t="str">
        <x:v>8</x:v>
      </x:c>
    </x:row>
    <x:row r="6">
      <x:c r="A6" s="10" t="n">
        <x:v>5</x:v>
      </x:c>
      <x:c r="B6" s="10" t="str">
        <x:v>持续专业发展</x:v>
      </x:c>
      <x:c r="C6" s="10" t="n">
        <x:f>SUM(Document_Matrix!G$2:G$18)</x:f>
        <x:v>16</x:v>
      </x:c>
      <x:c r="D6" s="14" t="n">
        <x:f>C6/17</x:f>
        <x:v>0.9411764705882353</x:v>
      </x:c>
      <x:c r="E6" s="10" t="n">
        <x:f>SUM(Document_Matrix!G$29:G$30)</x:f>
        <x:v>0</x:v>
      </x:c>
      <x:c r="F6" s="14" t="n">
        <x:f>E6/2</x:f>
        <x:v>0</x:v>
      </x:c>
      <x:c r="G6" s="10" t="n">
        <x:f>SUM(Document_Matrix!G$19:G$28)</x:f>
        <x:v>3</x:v>
      </x:c>
      <x:c r="H6" s="14" t="n">
        <x:f>G6/10</x:f>
        <x:v>0.3</x:v>
      </x:c>
      <x:c r="I6" s="10" t="n">
        <x:f>SUM(Document_Matrix!G$19:G$30)</x:f>
        <x:v>3</x:v>
      </x:c>
      <x:c r="J6" s="14" t="n">
        <x:f>I6/12</x:f>
        <x:v>0.25</x:v>
      </x:c>
      <x:c r="K6" s="10" t="str">
        <x:v>差异—H类突出</x:v>
      </x:c>
      <x:c r="L6" s="10" t="str">
        <x:v>31</x:v>
      </x:c>
      <x:c r="M6" s="10" t="str">
        <x:v>3</x:v>
      </x:c>
    </x:row>
    <x:row r="7">
      <x:c r="A7" s="10" t="n">
        <x:v>6</x:v>
      </x:c>
      <x:c r="B7" s="10" t="str">
        <x:v>合同/承诺遵守</x:v>
      </x:c>
      <x:c r="C7" s="10" t="n">
        <x:f>SUM(Document_Matrix!H$2:H$18)</x:f>
        <x:v>12</x:v>
      </x:c>
      <x:c r="D7" s="14" t="n">
        <x:f>C7/17</x:f>
        <x:v>0.7058823529411765</x:v>
      </x:c>
      <x:c r="E7" s="10" t="n">
        <x:f>SUM(Document_Matrix!H$29:H$30)</x:f>
        <x:v>2</x:v>
      </x:c>
      <x:c r="F7" s="14" t="n">
        <x:f>E7/2</x:f>
        <x:v>1</x:v>
      </x:c>
      <x:c r="G7" s="10" t="n">
        <x:f>SUM(Document_Matrix!H$19:H$28)</x:f>
        <x:v>0</x:v>
      </x:c>
      <x:c r="H7" s="14" t="n">
        <x:f>G7/10</x:f>
        <x:v>0</x:v>
      </x:c>
      <x:c r="I7" s="10" t="n">
        <x:f>SUM(Document_Matrix!H$19:H$30)</x:f>
        <x:v>2</x:v>
      </x:c>
      <x:c r="J7" s="14" t="n">
        <x:f>I7/12</x:f>
        <x:v>0.16666666666666666</x:v>
      </x:c>
      <x:c r="K7" s="10" t="str">
        <x:v>共性—正式标准共享，AI宣言缺失</x:v>
      </x:c>
      <x:c r="L7" s="10" t="str">
        <x:v>28</x:v>
      </x:c>
      <x:c r="M7" s="10" t="str">
        <x:v>3</x:v>
      </x:c>
    </x:row>
    <x:row r="8">
      <x:c r="A8" s="10" t="n">
        <x:v>7</x:v>
      </x:c>
      <x:c r="B8" s="10" t="str">
        <x:v>公平/中立</x:v>
      </x:c>
      <x:c r="C8" s="10" t="n">
        <x:f>SUM(Document_Matrix!I$2:I$18)</x:f>
        <x:v>12</x:v>
      </x:c>
      <x:c r="D8" s="14" t="n">
        <x:f>C8/17</x:f>
        <x:v>0.7058823529411765</x:v>
      </x:c>
      <x:c r="E8" s="10" t="n">
        <x:f>SUM(Document_Matrix!I$29:I$30)</x:f>
        <x:v>0</x:v>
      </x:c>
      <x:c r="F8" s="14" t="n">
        <x:f>E8/2</x:f>
        <x:v>0</x:v>
      </x:c>
      <x:c r="G8" s="10" t="n">
        <x:f>SUM(Document_Matrix!I$19:I$28)</x:f>
        <x:v>2</x:v>
      </x:c>
      <x:c r="H8" s="14" t="n">
        <x:f>G8/10</x:f>
        <x:v>0.2</x:v>
      </x:c>
      <x:c r="I8" s="10" t="n">
        <x:f>SUM(Document_Matrix!I$19:I$30)</x:f>
        <x:v>2</x:v>
      </x:c>
      <x:c r="J8" s="14" t="n">
        <x:f>I8/12</x:f>
        <x:v>0.16666666666666666</x:v>
      </x:c>
      <x:c r="K8" s="10" t="str">
        <x:v>差异—H类突出</x:v>
      </x:c>
      <x:c r="L8" s="10" t="str">
        <x:v>25</x:v>
      </x:c>
      <x:c r="M8" s="10" t="str">
        <x:v>4</x:v>
      </x:c>
    </x:row>
    <x:row r="9">
      <x:c r="A9" s="10" t="n">
        <x:v>8</x:v>
      </x:c>
      <x:c r="B9" s="10" t="str">
        <x:v>质量保证</x:v>
      </x:c>
      <x:c r="C9" s="10" t="n">
        <x:f>SUM(Document_Matrix!J$2:J$18)</x:f>
        <x:v>9</x:v>
      </x:c>
      <x:c r="D9" s="14" t="n">
        <x:f>C9/17</x:f>
        <x:v>0.5294117647058824</x:v>
      </x:c>
      <x:c r="E9" s="10" t="n">
        <x:f>SUM(Document_Matrix!J$29:J$30)</x:f>
        <x:v>2</x:v>
      </x:c>
      <x:c r="F9" s="14" t="n">
        <x:f>E9/2</x:f>
        <x:v>1</x:v>
      </x:c>
      <x:c r="G9" s="10" t="n">
        <x:f>SUM(Document_Matrix!J$19:J$28)</x:f>
        <x:v>7</x:v>
      </x:c>
      <x:c r="H9" s="14" t="n">
        <x:f>G9/10</x:f>
        <x:v>0.7</x:v>
      </x:c>
      <x:c r="I9" s="10" t="n">
        <x:f>SUM(Document_Matrix!J$19:J$30)</x:f>
        <x:v>9</x:v>
      </x:c>
      <x:c r="J9" s="14" t="n">
        <x:f>I9/12</x:f>
        <x:v>0.75</x:v>
      </x:c>
      <x:c r="K9" s="10" t="str">
        <x:v>共性—M/AI治理强化</x:v>
      </x:c>
      <x:c r="L9" s="10" t="str">
        <x:v>27</x:v>
      </x:c>
      <x:c r="M9" s="10" t="str">
        <x:v>25</x:v>
      </x:c>
    </x:row>
    <x:row r="10">
      <x:c r="A10" s="10" t="n">
        <x:v>9</x:v>
      </x:c>
      <x:c r="B10" s="10" t="str">
        <x:v>文化/语言能力</x:v>
      </x:c>
      <x:c r="C10" s="10" t="n">
        <x:f>SUM(Document_Matrix!K$2:K$18)</x:f>
        <x:v>3</x:v>
      </x:c>
      <x:c r="D10" s="14" t="n">
        <x:f>C10/17</x:f>
        <x:v>0.17647058823529413</x:v>
      </x:c>
      <x:c r="E10" s="10" t="n">
        <x:f>SUM(Document_Matrix!K$29:K$30)</x:f>
        <x:v>1</x:v>
      </x:c>
      <x:c r="F10" s="14" t="n">
        <x:f>E10/2</x:f>
        <x:v>0.5</x:v>
      </x:c>
      <x:c r="G10" s="10" t="n">
        <x:f>SUM(Document_Matrix!K$19:K$28)</x:f>
        <x:v>5</x:v>
      </x:c>
      <x:c r="H10" s="14" t="n">
        <x:f>G10/10</x:f>
        <x:v>0.5</x:v>
      </x:c>
      <x:c r="I10" s="10" t="n">
        <x:f>SUM(Document_Matrix!K$19:K$30)</x:f>
        <x:v>6</x:v>
      </x:c>
      <x:c r="J10" s="14" t="n">
        <x:f>I10/12</x:f>
        <x:v>0.5</x:v>
      </x:c>
      <x:c r="K10" s="10" t="str">
        <x:v>差异—M/AI语料突出</x:v>
      </x:c>
      <x:c r="L10" s="10" t="str">
        <x:v>3</x:v>
      </x:c>
      <x:c r="M10" s="10" t="str">
        <x:v>8</x:v>
      </x:c>
    </x:row>
    <x:row r="11">
      <x:c r="A11" s="10" t="n">
        <x:v>10</x:v>
      </x:c>
      <x:c r="B11" s="10" t="str">
        <x:v>错误更正义务</x:v>
      </x:c>
      <x:c r="C11" s="10" t="n">
        <x:f>SUM(Document_Matrix!L$2:L$18)</x:f>
        <x:v>8</x:v>
      </x:c>
      <x:c r="D11" s="14" t="n">
        <x:f>C11/17</x:f>
        <x:v>0.47058823529411764</x:v>
      </x:c>
      <x:c r="E11" s="10" t="n">
        <x:f>SUM(Document_Matrix!L$29:L$30)</x:f>
        <x:v>1</x:v>
      </x:c>
      <x:c r="F11" s="14" t="n">
        <x:f>E11/2</x:f>
        <x:v>0.5</x:v>
      </x:c>
      <x:c r="G11" s="10" t="n">
        <x:f>SUM(Document_Matrix!L$19:L$28)</x:f>
        <x:v>2</x:v>
      </x:c>
      <x:c r="H11" s="14" t="n">
        <x:f>G11/10</x:f>
        <x:v>0.2</x:v>
      </x:c>
      <x:c r="I11" s="10" t="n">
        <x:f>SUM(Document_Matrix!L$19:L$30)</x:f>
        <x:v>3</x:v>
      </x:c>
      <x:c r="J11" s="14" t="n">
        <x:f>I11/12</x:f>
        <x:v>0.25</x:v>
      </x:c>
      <x:c r="K11" s="10" t="str">
        <x:v>共性但机制分化—H类强调具体错误后的个案纠正；ISO规定译后编辑中的直接纠错；SAFE-AI与AUSIT补充人工介入、纠正和告知；TAC反馈属于系统持续改进。</x:v>
      </x:c>
      <x:c r="L11" s="10" t="str">
        <x:v>11</x:v>
      </x:c>
      <x:c r="M11" s="10" t="str">
        <x:v>3</x:v>
      </x:c>
    </x:row>
    <x:row r="12">
      <x:c r="A12" s="10" t="n">
        <x:v>11</x:v>
      </x:c>
      <x:c r="B12" s="10" t="str">
        <x:v>隐私/数据保护</x:v>
      </x:c>
      <x:c r="C12" s="10" t="n">
        <x:f>SUM(Document_Matrix!M$2:M$18)</x:f>
        <x:v>0</x:v>
      </x:c>
      <x:c r="D12" s="14" t="n">
        <x:f>C12/17</x:f>
        <x:v>0</x:v>
      </x:c>
      <x:c r="E12" s="10" t="n">
        <x:f>SUM(Document_Matrix!M$29:M$30)</x:f>
        <x:v>1</x:v>
      </x:c>
      <x:c r="F12" s="14" t="n">
        <x:f>E12/2</x:f>
        <x:v>0.5</x:v>
      </x:c>
      <x:c r="G12" s="10" t="n">
        <x:f>SUM(Document_Matrix!M$19:M$28)</x:f>
        <x:v>2</x:v>
      </x:c>
      <x:c r="H12" s="14" t="n">
        <x:f>G12/10</x:f>
        <x:v>0.2</x:v>
      </x:c>
      <x:c r="I12" s="10" t="n">
        <x:f>SUM(Document_Matrix!M$19:M$30)</x:f>
        <x:v>3</x:v>
      </x:c>
      <x:c r="J12" s="14" t="n">
        <x:f>I12/12</x:f>
        <x:v>0.25</x:v>
      </x:c>
      <x:c r="K12" s="10" t="str">
        <x:v>差异—M类新增</x:v>
      </x:c>
      <x:c r="L12" s="10" t="str">
        <x:v>0</x:v>
      </x:c>
      <x:c r="M12" s="10" t="str">
        <x:v>5</x:v>
      </x:c>
    </x:row>
    <x:row r="13">
      <x:c r="A13" s="10" t="n">
        <x:v>12</x:v>
      </x:c>
      <x:c r="B13" s="10" t="str">
        <x:v>拒绝有害工作</x:v>
      </x:c>
      <x:c r="C13" s="10" t="n">
        <x:f>SUM(Document_Matrix!N$2:N$18)</x:f>
        <x:v>7</x:v>
      </x:c>
      <x:c r="D13" s="14" t="n">
        <x:f>C13/17</x:f>
        <x:v>0.4117647058823529</x:v>
      </x:c>
      <x:c r="E13" s="10" t="n">
        <x:f>SUM(Document_Matrix!N$29:N$30)</x:f>
        <x:v>1</x:v>
      </x:c>
      <x:c r="F13" s="14" t="n">
        <x:f>E13/2</x:f>
        <x:v>0.5</x:v>
      </x:c>
      <x:c r="G13" s="10" t="n">
        <x:f>SUM(Document_Matrix!N$19:N$28)</x:f>
        <x:v>3</x:v>
      </x:c>
      <x:c r="H13" s="14" t="n">
        <x:f>G13/10</x:f>
        <x:v>0.3</x:v>
      </x:c>
      <x:c r="I13" s="10" t="n">
        <x:f>SUM(Document_Matrix!N$19:N$30)</x:f>
        <x:v>4</x:v>
      </x:c>
      <x:c r="J13" s="14" t="n">
        <x:f>I13/12</x:f>
        <x:v>0.3333333333333333</x:v>
      </x:c>
      <x:c r="K13" s="10" t="str">
        <x:v>共性—风险边界</x:v>
      </x:c>
      <x:c r="L13" s="10" t="str">
        <x:v>7</x:v>
      </x:c>
      <x:c r="M13" s="10" t="str">
        <x:v>8</x:v>
      </x:c>
    </x:row>
    <x:row r="14">
      <x:c r="A14" s="10" t="n">
        <x:v>13</x:v>
      </x:c>
      <x:c r="B14" s="10" t="str">
        <x:v>社会责任</x:v>
      </x:c>
      <x:c r="C14" s="10" t="n">
        <x:f>SUM(Document_Matrix!O$2:O$18)</x:f>
        <x:v>0</x:v>
      </x:c>
      <x:c r="D14" s="14" t="n">
        <x:f>C14/17</x:f>
        <x:v>0</x:v>
      </x:c>
      <x:c r="E14" s="10" t="n">
        <x:f>SUM(Document_Matrix!O$29:O$30)</x:f>
        <x:v>1</x:v>
      </x:c>
      <x:c r="F14" s="14" t="n">
        <x:f>E14/2</x:f>
        <x:v>0.5</x:v>
      </x:c>
      <x:c r="G14" s="10" t="n">
        <x:f>SUM(Document_Matrix!O$19:O$28)</x:f>
        <x:v>4</x:v>
      </x:c>
      <x:c r="H14" s="14" t="n">
        <x:f>G14/10</x:f>
        <x:v>0.4</x:v>
      </x:c>
      <x:c r="I14" s="10" t="n">
        <x:f>SUM(Document_Matrix!O$19:O$30)</x:f>
        <x:v>5</x:v>
      </x:c>
      <x:c r="J14" s="14" t="n">
        <x:f>I14/12</x:f>
        <x:v>0.4166666666666667</x:v>
      </x:c>
      <x:c r="K14" s="10" t="str">
        <x:v>差异—M/AI新增</x:v>
      </x:c>
      <x:c r="L14" s="10" t="str">
        <x:v>0</x:v>
      </x:c>
      <x:c r="M14" s="10" t="str">
        <x:v>13</x:v>
      </x:c>
    </x:row>
    <x:row r="15">
      <x:c r="A15" s="10" t="n">
        <x:v>14</x:v>
      </x:c>
      <x:c r="B15" s="10" t="str">
        <x:v>同业团结/合作</x:v>
      </x:c>
      <x:c r="C15" s="10" t="n">
        <x:f>SUM(Document_Matrix!P$2:P$18)</x:f>
        <x:v>12</x:v>
      </x:c>
      <x:c r="D15" s="14" t="n">
        <x:f>C15/17</x:f>
        <x:v>0.7058823529411765</x:v>
      </x:c>
      <x:c r="E15" s="10" t="n">
        <x:f>SUM(Document_Matrix!P$29:P$30)</x:f>
        <x:v>1</x:v>
      </x:c>
      <x:c r="F15" s="14" t="n">
        <x:f>E15/2</x:f>
        <x:v>0.5</x:v>
      </x:c>
      <x:c r="G15" s="10" t="n">
        <x:f>SUM(Document_Matrix!P$19:P$28)</x:f>
        <x:v>2</x:v>
      </x:c>
      <x:c r="H15" s="14" t="n">
        <x:f>G15/10</x:f>
        <x:v>0.2</x:v>
      </x:c>
      <x:c r="I15" s="10" t="n">
        <x:f>SUM(Document_Matrix!P$19:P$30)</x:f>
        <x:v>3</x:v>
      </x:c>
      <x:c r="J15" s="14" t="n">
        <x:f>I15/12</x:f>
        <x:v>0.25</x:v>
      </x:c>
      <x:c r="K15" s="10" t="str">
        <x:v>差异—H类突出</x:v>
      </x:c>
      <x:c r="L15" s="10" t="str">
        <x:v>44</x:v>
      </x:c>
      <x:c r="M15" s="10" t="str">
        <x:v>3</x:v>
      </x:c>
    </x:row>
    <x:row r="16">
      <x:c r="A16" s="10" t="n">
        <x:v>15</x:v>
      </x:c>
      <x:c r="B16" s="10" t="str">
        <x:v>利益冲突披露</x:v>
      </x:c>
      <x:c r="C16" s="10" t="n">
        <x:f>SUM(Document_Matrix!Q$2:Q$18)</x:f>
        <x:v>11</x:v>
      </x:c>
      <x:c r="D16" s="14" t="n">
        <x:f>C16/17</x:f>
        <x:v>0.6470588235294118</x:v>
      </x:c>
      <x:c r="E16" s="10" t="n">
        <x:f>SUM(Document_Matrix!Q$29:Q$30)</x:f>
        <x:v>0</x:v>
      </x:c>
      <x:c r="F16" s="14" t="n">
        <x:f>E16/2</x:f>
        <x:v>0</x:v>
      </x:c>
      <x:c r="G16" s="10" t="n">
        <x:f>SUM(Document_Matrix!Q$19:Q$28)</x:f>
        <x:v>0</x:v>
      </x:c>
      <x:c r="H16" s="14" t="n">
        <x:f>G16/10</x:f>
        <x:v>0</x:v>
      </x:c>
      <x:c r="I16" s="10" t="n">
        <x:f>SUM(Document_Matrix!Q$19:Q$30)</x:f>
        <x:v>0</x:v>
      </x:c>
      <x:c r="J16" s="14" t="n">
        <x:f>I16/12</x:f>
        <x:v>0</x:v>
      </x:c>
      <x:c r="K16" s="10" t="str">
        <x:v>差异—H类专有</x:v>
      </x:c>
      <x:c r="L16" s="10" t="str">
        <x:v>17</x:v>
      </x:c>
      <x:c r="M16" s="10" t="str">
        <x:v>0</x:v>
      </x:c>
    </x:row>
    <x:row r="17">
      <x:c r="A17" s="10" t="n">
        <x:v>16</x:v>
      </x:c>
      <x:c r="B17" s="10" t="str">
        <x:v>透明度</x:v>
      </x:c>
      <x:c r="C17" s="10" t="n">
        <x:f>SUM(Document_Matrix!R$2:R$18)</x:f>
        <x:v>5</x:v>
      </x:c>
      <x:c r="D17" s="14" t="n">
        <x:f>C17/17</x:f>
        <x:v>0.29411764705882354</x:v>
      </x:c>
      <x:c r="E17" s="10" t="n">
        <x:f>SUM(Document_Matrix!R$29:R$30)</x:f>
        <x:v>2</x:v>
      </x:c>
      <x:c r="F17" s="14" t="n">
        <x:f>E17/2</x:f>
        <x:v>1</x:v>
      </x:c>
      <x:c r="G17" s="10" t="n">
        <x:f>SUM(Document_Matrix!R$19:R$28)</x:f>
        <x:v>7</x:v>
      </x:c>
      <x:c r="H17" s="14" t="n">
        <x:f>G17/10</x:f>
        <x:v>0.7</x:v>
      </x:c>
      <x:c r="I17" s="10" t="n">
        <x:f>SUM(Document_Matrix!R$19:R$30)</x:f>
        <x:v>9</x:v>
      </x:c>
      <x:c r="J17" s="14" t="n">
        <x:f>I17/12</x:f>
        <x:v>0.75</x:v>
      </x:c>
      <x:c r="K17" s="10" t="str">
        <x:v>差异—M/AI核心</x:v>
      </x:c>
      <x:c r="L17" s="10" t="str">
        <x:v>10</x:v>
      </x:c>
      <x:c r="M17" s="10" t="str">
        <x:v>24</x:v>
      </x:c>
    </x:row>
    <x:row r="18">
      <x:c r="A18" s="10" t="n">
        <x:v>17</x:v>
      </x:c>
      <x:c r="B18" s="10" t="str">
        <x:v>知识产权保护</x:v>
      </x:c>
      <x:c r="C18" s="10" t="n">
        <x:f>SUM(Document_Matrix!S$2:S$18)</x:f>
        <x:v>5</x:v>
      </x:c>
      <x:c r="D18" s="14" t="n">
        <x:f>C18/17</x:f>
        <x:v>0.29411764705882354</x:v>
      </x:c>
      <x:c r="E18" s="10" t="n">
        <x:f>SUM(Document_Matrix!S$29:S$30)</x:f>
        <x:v>1</x:v>
      </x:c>
      <x:c r="F18" s="14" t="n">
        <x:f>E18/2</x:f>
        <x:v>0.5</x:v>
      </x:c>
      <x:c r="G18" s="10" t="n">
        <x:f>SUM(Document_Matrix!S$19:S$28)</x:f>
        <x:v>4</x:v>
      </x:c>
      <x:c r="H18" s="14" t="n">
        <x:f>G18/10</x:f>
        <x:v>0.4</x:v>
      </x:c>
      <x:c r="I18" s="10" t="n">
        <x:f>SUM(Document_Matrix!S$19:S$30)</x:f>
        <x:v>5</x:v>
      </x:c>
      <x:c r="J18" s="14" t="n">
        <x:f>I18/12</x:f>
        <x:v>0.4166666666666667</x:v>
      </x:c>
      <x:c r="K18" s="10" t="str">
        <x:v>差异—M/AI强化</x:v>
      </x:c>
      <x:c r="L18" s="10" t="str">
        <x:v>6</x:v>
      </x:c>
      <x:c r="M18" s="10" t="str">
        <x:v>10</x:v>
      </x:c>
    </x:row>
    <x:row r="19">
      <x:c r="A19" s="10" t="n">
        <x:v>18</x:v>
      </x:c>
      <x:c r="B19" s="10" t="str">
        <x:v>技术使用规范</x:v>
      </x:c>
      <x:c r="C19" s="10" t="n">
        <x:f>SUM(Document_Matrix!T$2:T$18)</x:f>
        <x:v>3</x:v>
      </x:c>
      <x:c r="D19" s="14" t="n">
        <x:f>C19/17</x:f>
        <x:v>0.17647058823529413</x:v>
      </x:c>
      <x:c r="E19" s="10" t="n">
        <x:f>SUM(Document_Matrix!T$29:T$30)</x:f>
        <x:v>0</x:v>
      </x:c>
      <x:c r="F19" s="14" t="n">
        <x:f>E19/2</x:f>
        <x:v>0</x:v>
      </x:c>
      <x:c r="G19" s="10" t="n">
        <x:f>SUM(Document_Matrix!T$19:T$28)</x:f>
        <x:v>0</x:v>
      </x:c>
      <x:c r="H19" s="14" t="n">
        <x:f>G19/10</x:f>
        <x:v>0</x:v>
      </x:c>
      <x:c r="I19" s="10" t="n">
        <x:f>SUM(Document_Matrix!T$19:T$30)</x:f>
        <x:v>0</x:v>
      </x:c>
      <x:c r="J19" s="14" t="n">
        <x:f>I19/12</x:f>
        <x:v>0</x:v>
      </x:c>
      <x:c r="K19" s="10" t="str">
        <x:v>缺口—总体低覆盖</x:v>
      </x:c>
      <x:c r="L19" s="10" t="str">
        <x:v>5</x:v>
      </x:c>
      <x:c r="M19" s="10" t="str">
        <x:v>0</x:v>
      </x:c>
    </x:row>
    <x:row r="20">
      <x:c r="A20" s="10" t="n">
        <x:v>19</x:v>
      </x:c>
      <x:c r="B20" s="10" t="str">
        <x:v>角色界限</x:v>
      </x:c>
      <x:c r="C20" s="10" t="n">
        <x:f>SUM(Document_Matrix!U$2:U$18)</x:f>
        <x:v>14</x:v>
      </x:c>
      <x:c r="D20" s="14" t="n">
        <x:f>C20/17</x:f>
        <x:v>0.8235294117647058</x:v>
      </x:c>
      <x:c r="E20" s="10" t="n">
        <x:f>SUM(Document_Matrix!U$29:U$30)</x:f>
        <x:v>0</x:v>
      </x:c>
      <x:c r="F20" s="14" t="n">
        <x:f>E20/2</x:f>
        <x:v>0</x:v>
      </x:c>
      <x:c r="G20" s="10" t="n">
        <x:f>SUM(Document_Matrix!U$19:U$28)</x:f>
        <x:v>5</x:v>
      </x:c>
      <x:c r="H20" s="14" t="n">
        <x:f>G20/10</x:f>
        <x:v>0.5</x:v>
      </x:c>
      <x:c r="I20" s="10" t="n">
        <x:f>SUM(Document_Matrix!U$19:U$30)</x:f>
        <x:v>5</x:v>
      </x:c>
      <x:c r="J20" s="14" t="n">
        <x:f>I20/12</x:f>
        <x:v>0.4166666666666667</x:v>
      </x:c>
      <x:c r="K20" s="10" t="str">
        <x:v>差异—H类核心、AI桥接</x:v>
      </x:c>
      <x:c r="L20" s="10" t="str">
        <x:v>53</x:v>
      </x:c>
      <x:c r="M20" s="10" t="str">
        <x:v>8</x:v>
      </x:c>
    </x:row>
    <x:row r="21">
      <x:c r="A21" s="10" t="n">
        <x:v>20</x:v>
      </x:c>
      <x:c r="B21" s="10" t="str">
        <x:v>公平报酬</x:v>
      </x:c>
      <x:c r="C21" s="10" t="n">
        <x:f>SUM(Document_Matrix!V$2:V$18)</x:f>
        <x:v>3</x:v>
      </x:c>
      <x:c r="D21" s="14" t="n">
        <x:f>C21/17</x:f>
        <x:v>0.17647058823529413</x:v>
      </x:c>
      <x:c r="E21" s="10" t="n">
        <x:f>SUM(Document_Matrix!V$29:V$30)</x:f>
        <x:v>1</x:v>
      </x:c>
      <x:c r="F21" s="14" t="n">
        <x:f>E21/2</x:f>
        <x:v>0.5</x:v>
      </x:c>
      <x:c r="G21" s="10" t="n">
        <x:f>SUM(Document_Matrix!V$19:V$28)</x:f>
        <x:v>6</x:v>
      </x:c>
      <x:c r="H21" s="14" t="n">
        <x:f>G21/10</x:f>
        <x:v>0.6</x:v>
      </x:c>
      <x:c r="I21" s="10" t="n">
        <x:f>SUM(Document_Matrix!V$19:V$30)</x:f>
        <x:v>7</x:v>
      </x:c>
      <x:c r="J21" s="14" t="n">
        <x:f>I21/12</x:f>
        <x:v>0.5833333333333334</x:v>
      </x:c>
      <x:c r="K21" s="10" t="str">
        <x:v>差异—AI劳动权利突出</x:v>
      </x:c>
      <x:c r="L21" s="10" t="str">
        <x:v>13</x:v>
      </x:c>
      <x:c r="M21" s="10" t="str">
        <x:v>20</x:v>
      </x:c>
    </x:row>
    <x:row r="22">
      <x:c r="A22" s="10" t="n">
        <x:v>21</x:v>
      </x:c>
      <x:c r="B22" s="10" t="str">
        <x:v>人机协作规范</x:v>
      </x:c>
      <x:c r="C22" s="10" t="n">
        <x:f>SUM(Document_Matrix!W$2:W$18)</x:f>
        <x:v>0</x:v>
      </x:c>
      <x:c r="D22" s="14" t="n">
        <x:f>C22/17</x:f>
        <x:v>0</x:v>
      </x:c>
      <x:c r="E22" s="10" t="n">
        <x:f>SUM(Document_Matrix!W$29:W$30)</x:f>
        <x:v>1</x:v>
      </x:c>
      <x:c r="F22" s="14" t="n">
        <x:f>E22/2</x:f>
        <x:v>0.5</x:v>
      </x:c>
      <x:c r="G22" s="10" t="n">
        <x:f>SUM(Document_Matrix!W$19:W$28)</x:f>
        <x:v>7</x:v>
      </x:c>
      <x:c r="H22" s="14" t="n">
        <x:f>G22/10</x:f>
        <x:v>0.7</x:v>
      </x:c>
      <x:c r="I22" s="10" t="n">
        <x:f>SUM(Document_Matrix!W$19:W$30)</x:f>
        <x:v>8</x:v>
      </x:c>
      <x:c r="J22" s="14" t="n">
        <x:f>I22/12</x:f>
        <x:v>0.6666666666666666</x:v>
      </x:c>
      <x:c r="K22" s="10" t="str">
        <x:v>差异—M/AI新增</x:v>
      </x:c>
      <x:c r="L22" s="10" t="str">
        <x:v>0</x:v>
      </x:c>
      <x:c r="M22" s="10" t="str">
        <x:v>17</x:v>
      </x:c>
    </x:row>
    <x:row r="23">
      <x:c r="A23" s="10" t="n">
        <x:v>22</x:v>
      </x:c>
      <x:c r="B23" s="10" t="str">
        <x:v>算法公平</x:v>
      </x:c>
      <x:c r="C23" s="10" t="n">
        <x:f>SUM(Document_Matrix!X$2:X$18)</x:f>
        <x:v>0</x:v>
      </x:c>
      <x:c r="D23" s="14" t="n">
        <x:f>C23/17</x:f>
        <x:v>0</x:v>
      </x:c>
      <x:c r="E23" s="10" t="n">
        <x:f>SUM(Document_Matrix!X$29:X$30)</x:f>
        <x:v>1</x:v>
      </x:c>
      <x:c r="F23" s="14" t="n">
        <x:f>E23/2</x:f>
        <x:v>0.5</x:v>
      </x:c>
      <x:c r="G23" s="10" t="n">
        <x:f>SUM(Document_Matrix!X$19:X$28)</x:f>
        <x:v>5</x:v>
      </x:c>
      <x:c r="H23" s="14" t="n">
        <x:f>G23/10</x:f>
        <x:v>0.5</x:v>
      </x:c>
      <x:c r="I23" s="10" t="n">
        <x:f>SUM(Document_Matrix!X$19:X$30)</x:f>
        <x:v>6</x:v>
      </x:c>
      <x:c r="J23" s="14" t="n">
        <x:f>I23/12</x:f>
        <x:v>0.5</x:v>
      </x:c>
      <x:c r="K23" s="10" t="str">
        <x:v>差异—M/AI新增</x:v>
      </x:c>
      <x:c r="L23" s="10" t="str">
        <x:v>0</x:v>
      </x:c>
      <x:c r="M23" s="10" t="str">
        <x:v>11</x:v>
      </x:c>
    </x:row>
    <x:row r="24">
      <x:c r="A24" s="10" t="n">
        <x:v>23</x:v>
      </x:c>
      <x:c r="B24" s="10" t="str">
        <x:v>可解释性</x:v>
      </x:c>
      <x:c r="C24" s="10" t="n">
        <x:f>SUM(Document_Matrix!Y$2:Y$18)</x:f>
        <x:v>0</x:v>
      </x:c>
      <x:c r="D24" s="14" t="n">
        <x:f>C24/17</x:f>
        <x:v>0</x:v>
      </x:c>
      <x:c r="E24" s="10" t="n">
        <x:f>SUM(Document_Matrix!Y$29:Y$30)</x:f>
        <x:v>1</x:v>
      </x:c>
      <x:c r="F24" s="14" t="n">
        <x:f>E24/2</x:f>
        <x:v>0.5</x:v>
      </x:c>
      <x:c r="G24" s="10" t="n">
        <x:f>SUM(Document_Matrix!Y$19:Y$28)</x:f>
        <x:v>0</x:v>
      </x:c>
      <x:c r="H24" s="14" t="n">
        <x:f>G24/10</x:f>
        <x:v>0</x:v>
      </x:c>
      <x:c r="I24" s="10" t="n">
        <x:f>SUM(Document_Matrix!Y$19:Y$30)</x:f>
        <x:v>1</x:v>
      </x:c>
      <x:c r="J24" s="14" t="n">
        <x:f>I24/12</x:f>
        <x:v>0.08333333333333333</x:v>
      </x:c>
      <x:c r="K24" s="10" t="str">
        <x:v>缺口—严格M提出、宣言未制度化</x:v>
      </x:c>
      <x:c r="L24" s="10" t="str">
        <x:v>0</x:v>
      </x:c>
      <x:c r="M24" s="10" t="str">
        <x:v>2</x:v>
      </x:c>
    </x:row>
    <x:row r="25">
      <x:c r="A25" s="10" t="n">
        <x:v>24</x:v>
      </x:c>
      <x:c r="B25" s="10" t="str">
        <x:v>知情同意</x:v>
      </x:c>
      <x:c r="C25" s="10" t="n">
        <x:f>SUM(Document_Matrix!Z$2:Z$18)</x:f>
        <x:v>1</x:v>
      </x:c>
      <x:c r="D25" s="14" t="n">
        <x:f>C25/17</x:f>
        <x:v>0.058823529411764705</x:v>
      </x:c>
      <x:c r="E25" s="10" t="n">
        <x:f>SUM(Document_Matrix!Z$29:Z$30)</x:f>
        <x:v>1</x:v>
      </x:c>
      <x:c r="F25" s="14" t="n">
        <x:f>E25/2</x:f>
        <x:v>0.5</x:v>
      </x:c>
      <x:c r="G25" s="10" t="n">
        <x:f>SUM(Document_Matrix!Z$19:Z$28)</x:f>
        <x:v>5</x:v>
      </x:c>
      <x:c r="H25" s="14" t="n">
        <x:f>G25/10</x:f>
        <x:v>0.5</x:v>
      </x:c>
      <x:c r="I25" s="10" t="n">
        <x:f>SUM(Document_Matrix!Z$19:Z$30)</x:f>
        <x:v>6</x:v>
      </x:c>
      <x:c r="J25" s="14" t="n">
        <x:f>I25/12</x:f>
        <x:v>0.5</x:v>
      </x:c>
      <x:c r="K25" s="10" t="str">
        <x:v>差异—M/AI新增</x:v>
      </x:c>
      <x:c r="L25" s="10" t="str">
        <x:v>1</x:v>
      </x:c>
      <x:c r="M25" s="10" t="str">
        <x:v>16</x:v>
      </x:c>
    </x:row>
    <x:row r="26">
      <x:c r="A26" s="10" t="n">
        <x:v>25</x:v>
      </x:c>
      <x:c r="B26" s="10" t="str">
        <x:v>译者著作权利</x:v>
      </x:c>
      <x:c r="C26" s="10" t="n">
        <x:f>SUM(Document_Matrix!AA$2:AA$18)</x:f>
        <x:v>2</x:v>
      </x:c>
      <x:c r="D26" s="14" t="n">
        <x:f>C26/17</x:f>
        <x:v>0.11764705882352941</x:v>
      </x:c>
      <x:c r="E26" s="10" t="n">
        <x:f>SUM(Document_Matrix!AA$29:AA$30)</x:f>
        <x:v>0</x:v>
      </x:c>
      <x:c r="F26" s="14" t="n">
        <x:f>E26/2</x:f>
        <x:v>0</x:v>
      </x:c>
      <x:c r="G26" s="10" t="n">
        <x:f>SUM(Document_Matrix!AA$19:AA$28)</x:f>
        <x:v>3</x:v>
      </x:c>
      <x:c r="H26" s="14" t="n">
        <x:f>G26/10</x:f>
        <x:v>0.3</x:v>
      </x:c>
      <x:c r="I26" s="10" t="n">
        <x:f>SUM(Document_Matrix!AA$19:AA$30)</x:f>
        <x:v>3</x:v>
      </x:c>
      <x:c r="J26" s="14" t="n">
        <x:f>I26/12</x:f>
        <x:v>0.25</x:v>
      </x:c>
      <x:c r="K26" s="10" t="str">
        <x:v>差异—AI创作者权利扩展</x:v>
      </x:c>
      <x:c r="L26" s="10" t="str">
        <x:v>7</x:v>
      </x:c>
      <x:c r="M26" s="10" t="str">
        <x:v>3</x:v>
      </x:c>
    </x:row>
    <x:row r="27">
      <x:c r="A27" s="10" t="n">
        <x:v>26</x:v>
      </x:c>
      <x:c r="B27" s="10" t="str">
        <x:v>尊重当事人/自主权</x:v>
      </x:c>
      <x:c r="C27" s="10" t="n">
        <x:f>SUM(Document_Matrix!AB$2:AB$18)</x:f>
        <x:v>3</x:v>
      </x:c>
      <x:c r="D27" s="14" t="n">
        <x:f>C27/17</x:f>
        <x:v>0.17647058823529413</x:v>
      </x:c>
      <x:c r="E27" s="10" t="n">
        <x:f>SUM(Document_Matrix!AB$29:AB$30)</x:f>
        <x:v>0</x:v>
      </x:c>
      <x:c r="F27" s="14" t="n">
        <x:f>E27/2</x:f>
        <x:v>0</x:v>
      </x:c>
      <x:c r="G27" s="10" t="n">
        <x:f>SUM(Document_Matrix!AB$19:AB$28)</x:f>
        <x:v>1</x:v>
      </x:c>
      <x:c r="H27" s="14" t="n">
        <x:f>G27/10</x:f>
        <x:v>0.1</x:v>
      </x:c>
      <x:c r="I27" s="10" t="n">
        <x:f>SUM(Document_Matrix!AB$19:AB$30)</x:f>
        <x:v>1</x:v>
      </x:c>
      <x:c r="J27" s="14" t="n">
        <x:f>I27/12</x:f>
        <x:v>0.08333333333333333</x:v>
      </x:c>
      <x:c r="K27" s="10" t="str">
        <x:v>缺口—自主权低显性化</x:v>
      </x:c>
      <x:c r="L27" s="10" t="str">
        <x:v>12</x:v>
      </x:c>
      <x:c r="M27" s="10" t="str">
        <x:v>3</x:v>
      </x:c>
    </x:row>
    <x:row r="28">
      <x:c r="A28" s="10" t="n">
        <x:v>27</x:v>
      </x:c>
      <x:c r="B28" s="10" t="str">
        <x:v>语言可及性/无障碍保障</x:v>
      </x:c>
      <x:c r="C28" s="10" t="n">
        <x:f>SUM(Document_Matrix!AC$2:AC$18)</x:f>
        <x:v>2</x:v>
      </x:c>
      <x:c r="D28" s="14" t="n">
        <x:f>C28/17</x:f>
        <x:v>0.11764705882352941</x:v>
      </x:c>
      <x:c r="E28" s="10" t="n">
        <x:f>SUM(Document_Matrix!AC$29:AC$30)</x:f>
        <x:v>0</x:v>
      </x:c>
      <x:c r="F28" s="14" t="n">
        <x:f>E28/2</x:f>
        <x:v>0</x:v>
      </x:c>
      <x:c r="G28" s="10" t="n">
        <x:f>SUM(Document_Matrix!AC$19:AC$28)</x:f>
        <x:v>3</x:v>
      </x:c>
      <x:c r="H28" s="14" t="n">
        <x:f>G28/10</x:f>
        <x:v>0.3</x:v>
      </x:c>
      <x:c r="I28" s="10" t="n">
        <x:f>SUM(Document_Matrix!AC$19:AC$30)</x:f>
        <x:v>3</x:v>
      </x:c>
      <x:c r="J28" s="14" t="n">
        <x:f>I28/12</x:f>
        <x:v>0.25</x:v>
      </x:c>
      <x:c r="K28" s="10" t="str">
        <x:v>差异—AI可及性扩展</x:v>
      </x:c>
      <x:c r="L28" s="10" t="str">
        <x:v>5</x:v>
      </x:c>
      <x:c r="M28" s="10" t="str">
        <x:v>5</x:v>
      </x:c>
    </x:row>
    <x:row r="29">
      <x:c r="A29" s="10" t="n">
        <x:v>28</x:v>
      </x:c>
      <x:c r="B29" s="10" t="str">
        <x:v>跨专业协作</x:v>
      </x:c>
      <x:c r="C29" s="10" t="n">
        <x:f>SUM(Document_Matrix!AD$2:AD$18)</x:f>
        <x:v>1</x:v>
      </x:c>
      <x:c r="D29" s="14" t="n">
        <x:f>C29/17</x:f>
        <x:v>0.058823529411764705</x:v>
      </x:c>
      <x:c r="E29" s="10" t="n">
        <x:f>SUM(Document_Matrix!AD$29:AD$30)</x:f>
        <x:v>0</x:v>
      </x:c>
      <x:c r="F29" s="14" t="n">
        <x:f>E29/2</x:f>
        <x:v>0</x:v>
      </x:c>
      <x:c r="G29" s="10" t="n">
        <x:f>SUM(Document_Matrix!AD$19:AD$28)</x:f>
        <x:v>4</x:v>
      </x:c>
      <x:c r="H29" s="14" t="n">
        <x:f>G29/10</x:f>
        <x:v>0.4</x:v>
      </x:c>
      <x:c r="I29" s="10" t="n">
        <x:f>SUM(Document_Matrix!AD$19:AD$30)</x:f>
        <x:v>4</x:v>
      </x:c>
      <x:c r="J29" s="14" t="n">
        <x:f>I29/12</x:f>
        <x:v>0.3333333333333333</x:v>
      </x:c>
      <x:c r="K29" s="10" t="str">
        <x:v>差异—AI桥接、H类不足</x:v>
      </x:c>
      <x:c r="L29" s="10" t="str">
        <x:v>3</x:v>
      </x:c>
      <x:c r="M29" s="10" t="str">
        <x:v>11</x:v>
      </x:c>
    </x:row>
    <x:row r="30">
      <x:c r="A30" s="10" t="n">
        <x:v>29</x:v>
      </x:c>
      <x:c r="B30" s="10" t="str">
        <x:v>问责制/责任归属</x:v>
      </x:c>
      <x:c r="C30" s="10" t="n">
        <x:f>SUM(Document_Matrix!AE$2:AE$18)</x:f>
        <x:v>3</x:v>
      </x:c>
      <x:c r="D30" s="14" t="n">
        <x:f>C30/17</x:f>
        <x:v>0.17647058823529413</x:v>
      </x:c>
      <x:c r="E30" s="10" t="n">
        <x:f>SUM(Document_Matrix!AE$29:AE$30)</x:f>
        <x:v>1</x:v>
      </x:c>
      <x:c r="F30" s="14" t="n">
        <x:f>E30/2</x:f>
        <x:v>0.5</x:v>
      </x:c>
      <x:c r="G30" s="10" t="n">
        <x:f>SUM(Document_Matrix!AE$19:AE$28)</x:f>
        <x:v>3</x:v>
      </x:c>
      <x:c r="H30" s="14" t="n">
        <x:f>G30/10</x:f>
        <x:v>0.3</x:v>
      </x:c>
      <x:c r="I30" s="10" t="n">
        <x:f>SUM(Document_Matrix!AE$19:AE$30)</x:f>
        <x:v>4</x:v>
      </x:c>
      <x:c r="J30" s="14" t="n">
        <x:f>I30/12</x:f>
        <x:v>0.3333333333333333</x:v>
      </x:c>
      <x:c r="K30" s="10" t="str">
        <x:v>差异—M/AI问责扩展</x:v>
      </x:c>
      <x:c r="L30" s="10" t="str">
        <x:v>3</x:v>
      </x:c>
      <x:c r="M30" s="10" t="str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62" hidden="0" customWidth="1"/>
    <x:col min="4" max="4" width="34" hidden="0" customWidth="1"/>
    <x:col min="5" max="5" width="62" hidden="0" customWidth="1"/>
  </x:cols>
  <x:sheetData>
    <x:row r="1">
      <x:c r="A1" s="16" t="str">
        <x:v>组别</x:v>
      </x:c>
      <x:c r="B1" s="16" t="str">
        <x:v>N</x:v>
      </x:c>
      <x:c r="C1" s="16" t="str">
        <x:v>Top 5</x:v>
      </x:c>
      <x:c r="D1" s="16" t="str">
        <x:v>100%覆盖</x:v>
      </x:c>
      <x:c r="E1" s="16" t="str">
        <x:v>零覆盖</x:v>
      </x:c>
    </x:row>
    <x:row r="2">
      <x:c r="A2" s="10" t="str">
        <x:v>H类</x:v>
      </x:c>
      <x:c r="B2" s="10" t="n">
        <x:v>17</x:v>
      </x:c>
      <x:c r="C2" s="10" t="str">
        <x:v>1.保密性17/17；2.胜任能力16/17；4.诚信/职业操守16/17；5.持续专业发展16/17；3.忠实/准确14/17</x:v>
      </x:c>
      <x:c r="D2" s="10" t="str">
        <x:v>1.保密性17/17</x:v>
      </x:c>
      <x:c r="E2" s="10" t="str">
        <x:v>11隐私/数据保护；13社会责任；21人机协作；22算法公平；23可解释性</x:v>
      </x:c>
    </x:row>
    <x:row r="3">
      <x:c r="A3" s="10" t="str">
        <x:v>严格M类</x:v>
      </x:c>
      <x:c r="B3" s="10" t="n">
        <x:v>2</x:v>
      </x:c>
      <x:c r="C3" s="10" t="str">
        <x:v>6.合同/承诺遵守2/2；8.质量保证2/2；16.透明度2/2；2.胜任能力1/2；3.忠实/准确1/2</x:v>
      </x:c>
      <x:c r="D3" s="10" t="str">
        <x:v>6合同/承诺遵守；8质量保证；16透明度</x:v>
      </x:c>
      <x:c r="E3" s="10" t="str">
        <x:v>1保密；4诚信；5持续专业发展；7公平/中立；15利益冲突；18技术使用；19角色界限；25译者权利；26自主权；27可及性；28跨专业协作</x:v>
      </x:c>
    </x:row>
    <x:row r="4">
      <x:c r="A4" s="10" t="str">
        <x:v>AI宣言类</x:v>
      </x:c>
      <x:c r="B4" s="10" t="n">
        <x:v>10</x:v>
      </x:c>
      <x:c r="C4" s="10" t="str">
        <x:v>8.质量保证7/10；16.透明度7/10；21.人机协作7/10；3.忠实/准确6/10；20.公平报酬6/10</x:v>
      </x:c>
      <x:c r="D4" s="10" t="str">
        <x:v>无</x:v>
      </x:c>
      <x:c r="E4" s="10" t="str">
        <x:v>6合同/承诺；15利益冲突；18技术使用；23可解释性</x:v>
      </x:c>
    </x:row>
    <x:row r="5">
      <x:c r="A5" s="10" t="str">
        <x:v>广义M类</x:v>
      </x:c>
      <x:c r="B5" s="10" t="n">
        <x:v>12</x:v>
      </x:c>
      <x:c r="C5" s="10" t="str">
        <x:v>8.质量保证9/12；16.透明度9/12；21.人机协作8/12；3.忠实/准确7/12；20.公平报酬7/12</x:v>
      </x:c>
      <x:c r="D5" s="10" t="str">
        <x:v>无</x:v>
      </x:c>
      <x:c r="E5" s="10" t="str">
        <x:v>15利益冲突；18技术使用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" hidden="0" customWidth="1"/>
    <x:col min="3" max="3" width="16" hidden="0" customWidth="1"/>
    <x:col min="4" max="4" width="12" hidden="0" customWidth="1"/>
    <x:col min="5" max="5" width="14" hidden="0" customWidth="1"/>
    <x:col min="6" max="6" width="58" hidden="0" customWidth="1"/>
  </x:cols>
  <x:sheetData>
    <x:row r="1">
      <x:c r="A1" s="16" t="str">
        <x:v>统计组</x:v>
      </x:c>
      <x:c r="B1" s="16" t="str">
        <x:v>N</x:v>
      </x:c>
      <x:c r="C1" s="16" t="str">
        <x:v>旧错误更正数</x:v>
      </x:c>
      <x:c r="D1" s="16" t="str">
        <x:v>修订数</x:v>
      </x:c>
      <x:c r="E1" s="16" t="str">
        <x:v>修订覆盖率</x:v>
      </x:c>
      <x:c r="F1" s="16" t="str">
        <x:v>直接证据文件</x:v>
      </x:c>
    </x:row>
    <x:row r="2">
      <x:c r="A2" s="10" t="str">
        <x:v>H类</x:v>
      </x:c>
      <x:c r="B2" s="10" t="n">
        <x:v>17</x:v>
      </x:c>
      <x:c r="C2" s="10" t="n">
        <x:v>8</x:v>
      </x:c>
      <x:c r="D2" s="10" t="n">
        <x:v>8</x:v>
      </x:c>
      <x:c r="E2" s="14" t="n">
        <x:v>0.47058823529411764</x:v>
      </x:c>
      <x:c r="F2" s="10" t="str">
        <x:v>既有H类结果不变</x:v>
      </x:c>
    </x:row>
    <x:row r="3">
      <x:c r="A3" s="10" t="str">
        <x:v>严格M类</x:v>
      </x:c>
      <x:c r="B3" s="10" t="n">
        <x:v>2</x:v>
      </x:c>
      <x:c r="C3" s="10" t="n">
        <x:v>2</x:v>
      </x:c>
      <x:c r="D3" s="10" t="n">
        <x:v>1</x:v>
      </x:c>
      <x:c r="E3" s="14" t="n">
        <x:v>0.5</x:v>
      </x:c>
      <x:c r="F3" s="10" t="str">
        <x:v>ISO 18587（4.3.3）；TAC移出</x:v>
      </x:c>
    </x:row>
    <x:row r="4">
      <x:c r="A4" s="10" t="str">
        <x:v>AI宣言类</x:v>
      </x:c>
      <x:c r="B4" s="10" t="n">
        <x:v>10</x:v>
      </x:c>
      <x:c r="C4" s="10" t="n">
        <x:v>1</x:v>
      </x:c>
      <x:c r="D4" s="10" t="n">
        <x:v>2</x:v>
      </x:c>
      <x:c r="E4" s="14" t="n">
        <x:v>0.2</x:v>
      </x:c>
      <x:c r="F4" s="10" t="str">
        <x:v>SAFE-AI；AUSIT</x:v>
      </x:c>
    </x:row>
    <x:row r="5">
      <x:c r="A5" s="10" t="str">
        <x:v>广义M类</x:v>
      </x:c>
      <x:c r="B5" s="10" t="n">
        <x:v>12</x:v>
      </x:c>
      <x:c r="C5" s="10" t="n">
        <x:v>3</x:v>
      </x:c>
      <x:c r="D5" s="10" t="n">
        <x:v>3</x:v>
      </x:c>
      <x:c r="E5" s="14" t="n">
        <x:v>0.25</x:v>
      </x:c>
      <x:c r="F5" s="10" t="str">
        <x:v>ISO；SAFE-AI；AUSIT（总数不变、构成变化）</x:v>
      </x:c>
    </x:row>
    <x:row r="6">
      <x:c r="A6" s="10" t="str">
        <x:v>说明</x:v>
      </x:c>
      <x:c r="B6" s="10" t="str"/>
      <x:c r="C6" s="10" t="str"/>
      <x:c r="D6" s="10" t="str"/>
      <x:c r="E6" s="10" t="str"/>
      <x:c r="F6" s="10" t="str">
        <x:v>反馈/持续改进不等于具体错误后的纠正、告知或补救。</x:v>
      </x:c>
    </x:row>
  </x:sheetData>
  <x:pageMargins left="0.7" right="0.7" top="0.75" bottom="0.75" header="0.3" footer="0.3"/>
</x:worksheet>
</file>